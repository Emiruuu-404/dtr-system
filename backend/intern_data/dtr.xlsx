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<sst xmlns="http://schemas.openxmlformats.org/spreadsheetml/2006/main" count="582" uniqueCount="59">
  <si>
    <t>day</t>
  </si>
  <si>
    <t>january</t>
  </si>
  <si>
    <t>total hours</t>
  </si>
  <si>
    <t>February</t>
  </si>
  <si>
    <t>March</t>
  </si>
  <si>
    <t>APRIL</t>
  </si>
  <si>
    <t>am</t>
  </si>
  <si>
    <t>pm</t>
  </si>
  <si>
    <t>MONTHS</t>
  </si>
  <si>
    <t>DAYS</t>
  </si>
  <si>
    <t>TOTAL HOURS</t>
  </si>
  <si>
    <t>in</t>
  </si>
  <si>
    <t>out</t>
  </si>
  <si>
    <t>JANUARY</t>
  </si>
  <si>
    <t>29-30</t>
  </si>
  <si>
    <t>FEBRUARY</t>
  </si>
  <si>
    <t>16-28</t>
  </si>
  <si>
    <t>TOTAL</t>
  </si>
  <si>
    <t>MARCH</t>
  </si>
  <si>
    <t>16-31</t>
  </si>
  <si>
    <t>Llenas, Aleron Jay C.</t>
  </si>
  <si>
    <t>16-30</t>
  </si>
  <si>
    <t>TIME REMAINING</t>
  </si>
  <si>
    <t>PROGRESS</t>
  </si>
  <si>
    <t>NABOR, ALWYN D.</t>
  </si>
  <si>
    <t>January</t>
  </si>
  <si>
    <t>target hours</t>
  </si>
  <si>
    <t>remaining hours</t>
  </si>
  <si>
    <t>TOTAL HOURS FROM MARCH 16-31</t>
  </si>
  <si>
    <t>1st 15 days: 124 hours 21 minutes (jan 29 to feb 18)</t>
  </si>
  <si>
    <t>2nd 15 days: 157 hours 17 minutes (feb 19 to mar 12)</t>
  </si>
  <si>
    <t>DAY</t>
  </si>
  <si>
    <t>AM</t>
  </si>
  <si>
    <t>PM</t>
  </si>
  <si>
    <t>IN</t>
  </si>
  <si>
    <t>OUT</t>
  </si>
  <si>
    <t>NOCHE, FRANCIS C.</t>
  </si>
  <si>
    <t>MONTS</t>
  </si>
  <si>
    <t>Sandagon, Dale Mar B.</t>
  </si>
  <si>
    <t>DELA CRUZ ,TRISTAN MARC P.</t>
  </si>
  <si>
    <t>April</t>
  </si>
  <si>
    <t xml:space="preserve">CAISIP, MARLON S. </t>
  </si>
  <si>
    <t>Total Rendered Hours</t>
  </si>
  <si>
    <r>
      <rPr>
        <rFont val="Arial"/>
        <b/>
        <color rgb="FF134F5C"/>
      </rPr>
      <t xml:space="preserve">DAYS REMAINING </t>
    </r>
    <r>
      <rPr>
        <rFont val="Arial"/>
        <b/>
        <i/>
        <color rgb="FF76A5AF"/>
      </rPr>
      <t>(8hrs/day)</t>
    </r>
  </si>
  <si>
    <t>Until</t>
  </si>
  <si>
    <t>Hrs left</t>
  </si>
  <si>
    <t>MONTH</t>
  </si>
  <si>
    <t>AMADO, EMEIR R.</t>
  </si>
  <si>
    <r>
      <rPr>
        <rFont val="Arial"/>
        <b/>
        <color rgb="FF134F5C"/>
      </rPr>
      <t xml:space="preserve">DAYS REMAINING </t>
    </r>
    <r>
      <rPr>
        <rFont val="Arial"/>
        <b/>
        <i/>
        <color rgb="FF76A5AF"/>
      </rPr>
      <t>(8hrs/day)</t>
    </r>
  </si>
  <si>
    <t xml:space="preserve">                                                                                                                                                                    </t>
  </si>
  <si>
    <t>BERAQUIT, PRINCES MAY A.</t>
  </si>
  <si>
    <r>
      <rPr>
        <rFont val="Arial"/>
        <b/>
        <color rgb="FF134F5C"/>
      </rPr>
      <t xml:space="preserve">DAYS REMAINING </t>
    </r>
    <r>
      <rPr>
        <rFont val="Arial"/>
        <b/>
        <i/>
        <color rgb="FF76A5AF"/>
      </rPr>
      <t>(8hrs/day)</t>
    </r>
  </si>
  <si>
    <t xml:space="preserve">MONTHS </t>
  </si>
  <si>
    <t xml:space="preserve">FERNANDEZ, ROSCEL D. </t>
  </si>
  <si>
    <r>
      <rPr>
        <rFont val="Arial"/>
        <b/>
        <color rgb="FF134F5C"/>
      </rPr>
      <t xml:space="preserve">DAYS REMAINING </t>
    </r>
    <r>
      <rPr>
        <rFont val="Arial"/>
        <b/>
        <i/>
        <color rgb="FF76A5AF"/>
      </rPr>
      <t>(8hrs/day)</t>
    </r>
  </si>
  <si>
    <t xml:space="preserve">TIME REMAINING </t>
  </si>
  <si>
    <t xml:space="preserve">PROGRESS </t>
  </si>
  <si>
    <t>CANAYA, KYLA B.</t>
  </si>
  <si>
    <r>
      <rPr>
        <rFont val="Arial"/>
        <b/>
        <color rgb="FF134F5C"/>
      </rPr>
      <t xml:space="preserve">DAYS REMAINING </t>
    </r>
    <r>
      <rPr>
        <rFont val="Arial"/>
        <b/>
        <i/>
        <color rgb="FF76A5AF"/>
      </rPr>
      <t>(8hrs/day)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</si>
</sst>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-d"/>
    <numFmt numFmtId="165" formatCode="h:mm am/pm"/>
    <numFmt numFmtId="166" formatCode="h&quot;:&quot;mm&quot; &quot;am/pm"/>
    <numFmt numFmtId="167" formatCode="mmmm&quot; &quot;d"/>
    <numFmt numFmtId="168" formatCode="m/d"/>
    <numFmt numFmtId="169" formatCode="h:mm:ss am/pm"/>
  </numFmts>
  <fonts count="71">
    <font>
      <sz val="11.0"/>
      <color theme="1"/>
      <name val="Aptos Narrow"/>
      <scheme val="minor"/>
    </font>
    <font>
      <color rgb="FFFFFFFF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color rgb="FF000000"/>
      <name val="Roboto"/>
    </font>
    <font>
      <sz val="11.0"/>
      <color rgb="FF000000"/>
      <name val="Aptos Narrow"/>
    </font>
    <font>
      <b/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b/>
      <sz val="14.0"/>
      <color theme="1"/>
      <name val="Aptos Narrow"/>
    </font>
    <font>
      <sz val="11.0"/>
      <color theme="1"/>
      <name val="Aptos Narrow"/>
    </font>
    <font>
      <b/>
      <i/>
      <sz val="12.0"/>
      <color rgb="FF000000"/>
      <name val="Arial"/>
    </font>
    <font>
      <b/>
      <sz val="17.0"/>
      <color theme="1"/>
      <name val="Arial"/>
    </font>
    <font>
      <b/>
      <sz val="36.0"/>
      <color theme="1"/>
      <name val="Aptos Narrow"/>
    </font>
    <font>
      <b/>
      <sz val="14.0"/>
      <color rgb="FF0C343D"/>
      <name val="Aptos Narrow"/>
    </font>
    <font>
      <b/>
      <sz val="21.0"/>
      <color theme="1"/>
      <name val="Aptos Narrow"/>
      <scheme val="minor"/>
    </font>
    <font>
      <b/>
      <sz val="2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color theme="1"/>
      <name val="Aptos Narrow"/>
      <scheme val="minor"/>
    </font>
    <font>
      <b/>
      <sz val="19.0"/>
      <color theme="1"/>
      <name val="Arial"/>
    </font>
    <font>
      <b/>
      <sz val="12.0"/>
      <color theme="1"/>
      <name val="Aptos Narrow"/>
    </font>
    <font>
      <b/>
      <sz val="38.0"/>
      <color theme="7"/>
      <name val="Aptos Narrow"/>
      <scheme val="minor"/>
    </font>
    <font>
      <b/>
      <sz val="36.0"/>
      <color theme="1"/>
      <name val="Arial"/>
    </font>
    <font>
      <b/>
      <sz val="36.0"/>
      <color rgb="FFFF0000"/>
      <name val="Arial"/>
    </font>
    <font>
      <b/>
      <sz val="25.0"/>
      <color theme="7"/>
      <name val="Arial"/>
    </font>
    <font>
      <b/>
      <sz val="12.0"/>
      <color theme="1"/>
      <name val="Arial"/>
    </font>
    <font>
      <b/>
      <sz val="14.0"/>
      <color rgb="FF000000"/>
      <name val="&quot;Aptos Narrow&quot;"/>
    </font>
    <font>
      <b/>
      <sz val="11.0"/>
      <color rgb="FF000000"/>
      <name val="Arial"/>
    </font>
    <font>
      <b/>
      <sz val="36.0"/>
      <color rgb="FF1155CC"/>
      <name val="Aptos Narrow"/>
    </font>
    <font>
      <sz val="11.0"/>
      <color rgb="FF000000"/>
      <name val="Arial"/>
    </font>
    <font>
      <b/>
      <sz val="28.0"/>
      <color theme="1"/>
      <name val="Arial"/>
    </font>
    <font>
      <b/>
      <sz val="31.0"/>
      <color rgb="FFCC0000"/>
      <name val="Aptos Narrow"/>
      <scheme val="minor"/>
    </font>
    <font>
      <b/>
      <sz val="15.0"/>
      <color theme="1"/>
      <name val="Aptos Narrow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sz val="18.0"/>
      <color theme="1"/>
      <name val="Arial"/>
    </font>
    <font>
      <b/>
      <i/>
      <sz val="34.0"/>
      <color rgb="FF000000"/>
      <name val="&quot;Aptos Narrow&quot;"/>
    </font>
    <font>
      <sz val="24.0"/>
      <color rgb="FFE06666"/>
      <name val="&quot;Aptos Narrow&quot;"/>
    </font>
    <font>
      <sz val="20.0"/>
      <color rgb="FF000000"/>
      <name val="&quot;Aptos Narrow&quot;"/>
    </font>
    <font>
      <b/>
      <sz val="17.0"/>
      <color rgb="FFF3F3F3"/>
      <name val="Arial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37.0"/>
      <color rgb="FFF3F3F3"/>
      <name val="&quot;Aptos Narrow&quot;"/>
    </font>
    <font>
      <b/>
      <sz val="13.0"/>
      <color rgb="FFF3F3F3"/>
      <name val="Arial"/>
    </font>
    <font>
      <sz val="25.0"/>
      <color rgb="FFFFFFFF"/>
      <name val="Arial"/>
    </font>
    <font>
      <b/>
      <sz val="27.0"/>
      <color rgb="FFFFFFFF"/>
      <name val="Aptos Narrow"/>
      <scheme val="minor"/>
    </font>
    <font>
      <b/>
      <sz val="14.0"/>
      <color rgb="FFFFFFFF"/>
      <name val="Arial"/>
    </font>
    <font>
      <i/>
      <sz val="9.0"/>
      <color rgb="FFFFFFFF"/>
      <name val="Arial"/>
    </font>
    <font>
      <color rgb="FF000000"/>
      <name val="Aptos Narrow"/>
      <scheme val="minor"/>
    </font>
    <font>
      <color rgb="FF000000"/>
      <name val="Arial"/>
    </font>
    <font>
      <b/>
      <i/>
      <sz val="26.0"/>
      <color rgb="FFFFFFFF"/>
      <name val="&quot;Aptos Narrow&quot;"/>
    </font>
    <font>
      <sz val="11.0"/>
      <color rgb="FF0C343D"/>
      <name val="&quot;Aptos Narrow&quot;"/>
    </font>
    <font>
      <b/>
      <sz val="11.0"/>
      <color rgb="FF0C343D"/>
      <name val="&quot;Aptos Narrow&quot;"/>
    </font>
    <font>
      <sz val="11.0"/>
      <color rgb="FF0C343D"/>
      <name val="Arial"/>
    </font>
    <font>
      <b/>
      <color rgb="FF134F5C"/>
      <name val="Arial"/>
    </font>
    <font>
      <b/>
      <sz val="21.0"/>
      <color rgb="FFFFFFFF"/>
      <name val="Aptos Narrow"/>
      <scheme val="minor"/>
    </font>
    <font>
      <i/>
      <color theme="1"/>
      <name val="Arial"/>
    </font>
    <font>
      <sz val="11.0"/>
      <color rgb="FF0C343D"/>
      <name val="Aptos Narrow"/>
    </font>
    <font>
      <b/>
      <sz val="14.0"/>
      <color rgb="FF0C343D"/>
      <name val="&quot;Aptos Narrow&quot;"/>
    </font>
    <font>
      <b/>
      <sz val="11.0"/>
      <color rgb="FF0C343D"/>
      <name val="Aptos Narrow"/>
    </font>
    <font>
      <b/>
      <sz val="20.0"/>
      <color rgb="FFFFFFFF"/>
      <name val="Arial"/>
    </font>
    <font>
      <b/>
      <color theme="0"/>
      <name val="Aptos Narrow"/>
      <scheme val="minor"/>
    </font>
    <font>
      <b/>
      <sz val="14.0"/>
      <color theme="1"/>
      <name val="&quot;Aptos Narrow&quot;"/>
    </font>
    <font>
      <b/>
      <sz val="14.0"/>
      <color theme="1"/>
      <name val="Arial"/>
    </font>
    <font>
      <b/>
      <sz val="25.0"/>
      <color rgb="FFFFFFFF"/>
      <name val="Aptos Narrow"/>
      <scheme val="minor"/>
    </font>
    <font>
      <b/>
      <sz val="14.0"/>
      <color rgb="FF000000"/>
      <name val="Aptos Narrow"/>
    </font>
    <font>
      <b/>
      <sz val="11.0"/>
      <color rgb="FFEFEFEF"/>
      <name val="Aptos Narrow"/>
    </font>
    <font>
      <b/>
      <sz val="11.0"/>
      <color rgb="FFEFEFEF"/>
      <name val="Arial"/>
    </font>
    <font>
      <color theme="1"/>
      <name val="&quot;Times New Roman&quot;"/>
    </font>
  </fonts>
  <fills count="3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FAE2D5"/>
        <bgColor rgb="FFFAE2D5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0F9ED5"/>
        <bgColor rgb="FF0F9ED5"/>
      </patternFill>
    </fill>
    <fill>
      <patternFill patternType="solid">
        <fgColor rgb="FF00FFFF"/>
        <bgColor rgb="FF00FFFF"/>
      </patternFill>
    </fill>
    <fill>
      <patternFill patternType="solid">
        <fgColor rgb="FFCAEDFB"/>
        <bgColor rgb="FFCAEDFB"/>
      </patternFill>
    </fill>
    <fill>
      <patternFill patternType="solid">
        <fgColor theme="7"/>
        <bgColor theme="7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434343"/>
        <bgColor rgb="FF434343"/>
      </patternFill>
    </fill>
    <fill>
      <patternFill patternType="solid">
        <fgColor rgb="FF9FC5E8"/>
        <bgColor rgb="FF9FC5E8"/>
      </patternFill>
    </fill>
    <fill>
      <patternFill patternType="solid">
        <fgColor rgb="FF3DC004"/>
        <bgColor rgb="FF3DC00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F2D0"/>
        <bgColor rgb="FFD9F2D0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134F5C"/>
        <bgColor rgb="FF134F5C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5B0F00"/>
        <bgColor rgb="FF5B0F00"/>
      </patternFill>
    </fill>
    <fill>
      <patternFill patternType="solid">
        <fgColor rgb="FFA64D79"/>
        <bgColor rgb="FFA64D79"/>
      </patternFill>
    </fill>
    <fill>
      <patternFill patternType="solid">
        <fgColor rgb="FF351C75"/>
        <bgColor rgb="FF351C75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134F5C"/>
      </left>
      <right style="thin">
        <color rgb="FF134F5C"/>
      </right>
      <top style="thin">
        <color rgb="FF134F5C"/>
      </top>
    </border>
    <border>
      <left style="thin">
        <color rgb="FF134F5C"/>
      </left>
      <top style="thin">
        <color rgb="FF134F5C"/>
      </top>
      <bottom style="thin">
        <color rgb="FF134F5C"/>
      </bottom>
    </border>
    <border>
      <top style="thin">
        <color rgb="FF134F5C"/>
      </top>
      <bottom style="thin">
        <color rgb="FF134F5C"/>
      </bottom>
    </border>
    <border>
      <right style="thin">
        <color rgb="FF134F5C"/>
      </right>
      <top style="thin">
        <color rgb="FF134F5C"/>
      </top>
      <bottom style="thin">
        <color rgb="FF134F5C"/>
      </bottom>
    </border>
    <border>
      <left style="thin">
        <color rgb="FF134F5C"/>
      </left>
      <right style="thin">
        <color rgb="FF134F5C"/>
      </right>
    </border>
    <border>
      <left style="thin">
        <color rgb="FF134F5C"/>
      </left>
      <right style="thin">
        <color rgb="FF134F5C"/>
      </right>
      <bottom style="thin">
        <color rgb="FF134F5C"/>
      </bottom>
    </border>
    <border>
      <left style="thin">
        <color rgb="FF134F5C"/>
      </left>
      <right style="thin">
        <color rgb="FF134F5C"/>
      </right>
      <top style="thin">
        <color rgb="FF134F5C"/>
      </top>
      <bottom style="thin">
        <color rgb="FF134F5C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94">
    <xf borderId="0" fillId="0" fontId="0" numFmtId="0" xfId="0" applyAlignment="1" applyFont="1">
      <alignment readingOrder="0" shrinkToFit="0" vertical="bottom" wrapText="0"/>
    </xf>
    <xf borderId="0" fillId="0" fontId="1" numFmtId="46" xfId="0" applyFont="1" applyNumberForma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left"/>
    </xf>
    <xf borderId="0" fillId="0" fontId="6" numFmtId="21" xfId="0" applyAlignment="1" applyFont="1" applyNumberFormat="1">
      <alignment horizontal="center"/>
    </xf>
    <xf borderId="5" fillId="0" fontId="3" numFmtId="0" xfId="0" applyBorder="1" applyFont="1"/>
    <xf borderId="2" fillId="2" fontId="4" numFmtId="0" xfId="0" applyAlignment="1" applyBorder="1" applyFont="1">
      <alignment readingOrder="0"/>
    </xf>
    <xf borderId="6" fillId="2" fontId="7" numFmtId="0" xfId="0" applyAlignment="1" applyBorder="1" applyFont="1">
      <alignment readingOrder="0"/>
    </xf>
    <xf borderId="7" fillId="0" fontId="3" numFmtId="0" xfId="0" applyBorder="1" applyFont="1"/>
    <xf borderId="6" fillId="2" fontId="2" numFmtId="0" xfId="0" applyAlignment="1" applyBorder="1" applyFont="1">
      <alignment horizontal="center" vertical="center"/>
    </xf>
    <xf borderId="8" fillId="0" fontId="8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/>
    </xf>
    <xf borderId="6" fillId="3" fontId="10" numFmtId="46" xfId="0" applyAlignment="1" applyBorder="1" applyFill="1" applyFont="1" applyNumberFormat="1">
      <alignment horizontal="center"/>
    </xf>
    <xf borderId="6" fillId="4" fontId="11" numFmtId="0" xfId="0" applyAlignment="1" applyBorder="1" applyFill="1" applyFont="1">
      <alignment horizontal="center" vertical="center"/>
    </xf>
    <xf borderId="6" fillId="4" fontId="11" numFmtId="18" xfId="0" applyBorder="1" applyFont="1" applyNumberFormat="1"/>
    <xf borderId="6" fillId="4" fontId="2" numFmtId="21" xfId="0" applyBorder="1" applyFont="1" applyNumberFormat="1"/>
    <xf borderId="6" fillId="4" fontId="11" numFmtId="21" xfId="0" applyBorder="1" applyFont="1" applyNumberFormat="1"/>
    <xf borderId="6" fillId="4" fontId="8" numFmtId="0" xfId="0" applyAlignment="1" applyBorder="1" applyFont="1">
      <alignment horizontal="center" readingOrder="0" vertical="center"/>
    </xf>
    <xf borderId="0" fillId="0" fontId="11" numFmtId="21" xfId="0" applyFont="1" applyNumberFormat="1"/>
    <xf borderId="5" fillId="0" fontId="12" numFmtId="164" xfId="0" applyAlignment="1" applyBorder="1" applyFont="1" applyNumberFormat="1">
      <alignment horizontal="center" readingOrder="0"/>
    </xf>
    <xf borderId="5" fillId="0" fontId="12" numFmtId="0" xfId="0" applyAlignment="1" applyBorder="1" applyFont="1">
      <alignment horizontal="center" readingOrder="0"/>
    </xf>
    <xf borderId="2" fillId="4" fontId="10" numFmtId="0" xfId="0" applyAlignment="1" applyBorder="1" applyFont="1">
      <alignment horizontal="center" vertical="center"/>
    </xf>
    <xf borderId="6" fillId="4" fontId="10" numFmtId="46" xfId="0" applyBorder="1" applyFont="1" applyNumberFormat="1"/>
    <xf borderId="0" fillId="0" fontId="1" numFmtId="0" xfId="0" applyFont="1"/>
    <xf borderId="9" fillId="0" fontId="13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6" fillId="4" fontId="8" numFmtId="18" xfId="0" applyAlignment="1" applyBorder="1" applyFont="1" applyNumberFormat="1">
      <alignment readingOrder="0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2" fillId="0" fontId="8" numFmtId="0" xfId="0" applyAlignment="1" applyBorder="1" applyFont="1">
      <alignment readingOrder="0"/>
    </xf>
    <xf borderId="7" fillId="0" fontId="12" numFmtId="0" xfId="0" applyAlignment="1" applyBorder="1" applyFont="1">
      <alignment horizontal="center" readingOrder="0"/>
    </xf>
    <xf borderId="9" fillId="2" fontId="14" numFmtId="46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readingOrder="0"/>
    </xf>
    <xf borderId="6" fillId="5" fontId="15" numFmtId="46" xfId="0" applyAlignment="1" applyBorder="1" applyFill="1" applyFont="1" applyNumberFormat="1">
      <alignment horizontal="center"/>
    </xf>
    <xf borderId="8" fillId="0" fontId="3" numFmtId="0" xfId="0" applyBorder="1" applyFont="1"/>
    <xf borderId="15" fillId="0" fontId="3" numFmtId="0" xfId="0" applyBorder="1" applyFont="1"/>
    <xf borderId="0" fillId="0" fontId="11" numFmtId="21" xfId="0" applyAlignment="1" applyFont="1" applyNumberFormat="1">
      <alignment horizontal="center"/>
    </xf>
    <xf borderId="6" fillId="4" fontId="8" numFmtId="165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2" fillId="4" fontId="7" numFmtId="0" xfId="0" applyAlignment="1" applyBorder="1" applyFont="1">
      <alignment horizontal="center" readingOrder="0"/>
    </xf>
    <xf borderId="8" fillId="2" fontId="16" numFmtId="0" xfId="0" applyAlignment="1" applyBorder="1" applyFont="1">
      <alignment horizontal="center" vertical="center"/>
    </xf>
    <xf borderId="9" fillId="2" fontId="17" numFmtId="0" xfId="0" applyAlignment="1" applyBorder="1" applyFont="1">
      <alignment horizontal="center" vertical="center"/>
    </xf>
    <xf borderId="0" fillId="0" fontId="18" numFmtId="0" xfId="0" applyFont="1"/>
    <xf borderId="6" fillId="6" fontId="11" numFmtId="18" xfId="0" applyBorder="1" applyFill="1" applyFont="1" applyNumberFormat="1"/>
    <xf borderId="6" fillId="6" fontId="2" numFmtId="21" xfId="0" applyBorder="1" applyFont="1" applyNumberFormat="1"/>
    <xf borderId="6" fillId="4" fontId="11" numFmtId="0" xfId="0" applyBorder="1" applyFont="1"/>
    <xf borderId="2" fillId="3" fontId="10" numFmtId="0" xfId="0" applyAlignment="1" applyBorder="1" applyFont="1">
      <alignment horizontal="center" vertical="center"/>
    </xf>
    <xf borderId="6" fillId="3" fontId="10" numFmtId="46" xfId="0" applyBorder="1" applyFont="1" applyNumberFormat="1"/>
    <xf borderId="0" fillId="0" fontId="19" numFmtId="0" xfId="0" applyAlignment="1" applyFont="1">
      <alignment readingOrder="0"/>
    </xf>
    <xf borderId="0" fillId="0" fontId="10" numFmtId="46" xfId="0" applyFont="1" applyNumberFormat="1"/>
    <xf borderId="0" fillId="0" fontId="20" numFmtId="0" xfId="0" applyFont="1"/>
    <xf borderId="9" fillId="0" fontId="21" numFmtId="0" xfId="0" applyAlignment="1" applyBorder="1" applyFont="1">
      <alignment horizontal="center" readingOrder="0"/>
    </xf>
    <xf borderId="1" fillId="7" fontId="2" numFmtId="0" xfId="0" applyAlignment="1" applyBorder="1" applyFill="1" applyFont="1">
      <alignment horizontal="center" vertical="center"/>
    </xf>
    <xf borderId="2" fillId="7" fontId="2" numFmtId="0" xfId="0" applyAlignment="1" applyBorder="1" applyFont="1">
      <alignment horizontal="center"/>
    </xf>
    <xf borderId="1" fillId="8" fontId="2" numFmtId="0" xfId="0" applyAlignment="1" applyBorder="1" applyFill="1" applyFont="1">
      <alignment horizontal="center" vertical="center"/>
    </xf>
    <xf borderId="2" fillId="8" fontId="4" numFmtId="0" xfId="0" applyAlignment="1" applyBorder="1" applyFont="1">
      <alignment horizontal="center" readingOrder="0"/>
    </xf>
    <xf borderId="6" fillId="9" fontId="4" numFmtId="0" xfId="0" applyAlignment="1" applyBorder="1" applyFill="1" applyFont="1">
      <alignment readingOrder="0"/>
    </xf>
    <xf borderId="6" fillId="9" fontId="7" numFmtId="0" xfId="0" applyAlignment="1" applyBorder="1" applyFont="1">
      <alignment readingOrder="0"/>
    </xf>
    <xf borderId="2" fillId="8" fontId="2" numFmtId="0" xfId="0" applyAlignment="1" applyBorder="1" applyFont="1">
      <alignment horizontal="center"/>
    </xf>
    <xf borderId="6" fillId="10" fontId="8" numFmtId="0" xfId="0" applyAlignment="1" applyBorder="1" applyFill="1" applyFont="1">
      <alignment readingOrder="0"/>
    </xf>
    <xf borderId="6" fillId="10" fontId="9" numFmtId="0" xfId="0" applyAlignment="1" applyBorder="1" applyFont="1">
      <alignment horizontal="center" readingOrder="0"/>
    </xf>
    <xf borderId="6" fillId="10" fontId="22" numFmtId="46" xfId="0" applyBorder="1" applyFont="1" applyNumberFormat="1"/>
    <xf borderId="6" fillId="7" fontId="2" numFmtId="0" xfId="0" applyAlignment="1" applyBorder="1" applyFont="1">
      <alignment horizontal="center" vertical="center"/>
    </xf>
    <xf borderId="6" fillId="8" fontId="2" numFmtId="0" xfId="0" applyAlignment="1" applyBorder="1" applyFont="1">
      <alignment horizontal="center" vertical="center"/>
    </xf>
    <xf borderId="6" fillId="10" fontId="12" numFmtId="164" xfId="0" applyAlignment="1" applyBorder="1" applyFont="1" applyNumberFormat="1">
      <alignment horizontal="center" readingOrder="0"/>
    </xf>
    <xf borderId="6" fillId="10" fontId="4" numFmtId="0" xfId="0" applyAlignment="1" applyBorder="1" applyFont="1">
      <alignment horizontal="center" readingOrder="0" vertical="center"/>
    </xf>
    <xf borderId="6" fillId="10" fontId="4" numFmtId="18" xfId="0" applyAlignment="1" applyBorder="1" applyFont="1" applyNumberFormat="1">
      <alignment readingOrder="0"/>
    </xf>
    <xf borderId="6" fillId="10" fontId="2" numFmtId="21" xfId="0" applyBorder="1" applyFont="1" applyNumberFormat="1"/>
    <xf borderId="6" fillId="10" fontId="2" numFmtId="0" xfId="0" applyAlignment="1" applyBorder="1" applyFont="1">
      <alignment horizontal="center" vertical="center"/>
    </xf>
    <xf borderId="6" fillId="10" fontId="2" numFmtId="18" xfId="0" applyBorder="1" applyFont="1" applyNumberFormat="1"/>
    <xf borderId="6" fillId="10" fontId="8" numFmtId="0" xfId="0" applyAlignment="1" applyBorder="1" applyFont="1">
      <alignment horizontal="center" readingOrder="0" vertical="center"/>
    </xf>
    <xf borderId="6" fillId="10" fontId="11" numFmtId="18" xfId="0" applyBorder="1" applyFont="1" applyNumberFormat="1"/>
    <xf borderId="6" fillId="10" fontId="11" numFmtId="21" xfId="0" applyBorder="1" applyFont="1" applyNumberFormat="1"/>
    <xf borderId="6" fillId="10" fontId="12" numFmtId="0" xfId="0" applyAlignment="1" applyBorder="1" applyFont="1">
      <alignment horizontal="center" readingOrder="0"/>
    </xf>
    <xf borderId="16" fillId="11" fontId="14" numFmtId="46" xfId="0" applyAlignment="1" applyBorder="1" applyFill="1" applyFont="1" applyNumberForma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6" fillId="10" fontId="4" numFmtId="165" xfId="0" applyAlignment="1" applyBorder="1" applyFont="1" applyNumberFormat="1">
      <alignment readingOrder="0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6" fillId="10" fontId="2" numFmtId="0" xfId="0" applyBorder="1" applyFont="1"/>
    <xf borderId="6" fillId="10" fontId="8" numFmtId="18" xfId="0" applyAlignment="1" applyBorder="1" applyFont="1" applyNumberFormat="1">
      <alignment readingOrder="0"/>
    </xf>
    <xf borderId="6" fillId="10" fontId="18" numFmtId="0" xfId="0" applyBorder="1" applyFont="1"/>
    <xf borderId="1" fillId="11" fontId="2" numFmtId="0" xfId="0" applyAlignment="1" applyBorder="1" applyFont="1">
      <alignment horizontal="center" vertical="center"/>
    </xf>
    <xf borderId="2" fillId="11" fontId="2" numFmtId="0" xfId="0" applyAlignment="1" applyBorder="1" applyFont="1">
      <alignment horizontal="center"/>
    </xf>
    <xf borderId="6" fillId="10" fontId="4" numFmtId="0" xfId="0" applyAlignment="1" applyBorder="1" applyFont="1">
      <alignment readingOrder="0"/>
    </xf>
    <xf borderId="6" fillId="11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18" xfId="0" applyBorder="1" applyFont="1" applyNumberFormat="1"/>
    <xf borderId="6" fillId="0" fontId="2" numFmtId="21" xfId="0" applyBorder="1" applyFont="1" applyNumberFormat="1"/>
    <xf borderId="6" fillId="10" fontId="1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6" fillId="12" fontId="2" numFmtId="0" xfId="0" applyAlignment="1" applyBorder="1" applyFill="1" applyFont="1">
      <alignment horizontal="center" vertical="center"/>
    </xf>
    <xf borderId="6" fillId="12" fontId="4" numFmtId="18" xfId="0" applyAlignment="1" applyBorder="1" applyFont="1" applyNumberFormat="1">
      <alignment readingOrder="0"/>
    </xf>
    <xf borderId="6" fillId="12" fontId="2" numFmtId="21" xfId="0" applyBorder="1" applyFont="1" applyNumberFormat="1"/>
    <xf borderId="0" fillId="0" fontId="7" numFmtId="0" xfId="0" applyAlignment="1" applyFont="1">
      <alignment readingOrder="0"/>
    </xf>
    <xf borderId="2" fillId="0" fontId="2" numFmtId="0" xfId="0" applyAlignment="1" applyBorder="1" applyFont="1">
      <alignment horizontal="center" vertical="center"/>
    </xf>
    <xf borderId="6" fillId="0" fontId="22" numFmtId="46" xfId="0" applyBorder="1" applyFont="1" applyNumberFormat="1"/>
    <xf borderId="0" fillId="0" fontId="7" numFmtId="46" xfId="0" applyAlignment="1" applyFont="1" applyNumberFormat="1">
      <alignment readingOrder="0"/>
    </xf>
    <xf borderId="6" fillId="13" fontId="4" numFmtId="0" xfId="0" applyAlignment="1" applyBorder="1" applyFill="1" applyFont="1">
      <alignment horizontal="center" readingOrder="0" vertical="center"/>
    </xf>
    <xf borderId="6" fillId="13" fontId="4" numFmtId="18" xfId="0" applyAlignment="1" applyBorder="1" applyFont="1" applyNumberFormat="1">
      <alignment readingOrder="0"/>
    </xf>
    <xf borderId="6" fillId="13" fontId="2" numFmtId="21" xfId="0" applyBorder="1" applyFont="1" applyNumberFormat="1"/>
    <xf borderId="0" fillId="0" fontId="23" numFmtId="0" xfId="0" applyFont="1"/>
    <xf borderId="16" fillId="11" fontId="24" numFmtId="46" xfId="0" applyAlignment="1" applyBorder="1" applyFont="1" applyNumberFormat="1">
      <alignment horizontal="center" readingOrder="0" vertical="center"/>
    </xf>
    <xf borderId="2" fillId="10" fontId="22" numFmtId="0" xfId="0" applyAlignment="1" applyBorder="1" applyFont="1">
      <alignment horizontal="center" vertical="center"/>
    </xf>
    <xf borderId="19" fillId="14" fontId="25" numFmtId="46" xfId="0" applyAlignment="1" applyBorder="1" applyFill="1" applyFont="1" applyNumberFormat="1">
      <alignment horizontal="center" readingOrder="0" vertical="center"/>
    </xf>
    <xf borderId="9" fillId="0" fontId="26" numFmtId="0" xfId="0" applyAlignment="1" applyBorder="1" applyFont="1">
      <alignment horizontal="center" readingOrder="0"/>
    </xf>
    <xf borderId="6" fillId="10" fontId="4" numFmtId="165" xfId="0" applyAlignment="1" applyBorder="1" applyFont="1" applyNumberFormat="1">
      <alignment horizontal="right" vertical="bottom"/>
    </xf>
    <xf borderId="2" fillId="10" fontId="27" numFmtId="0" xfId="0" applyAlignment="1" applyBorder="1" applyFont="1">
      <alignment horizontal="center" readingOrder="0" vertical="center"/>
    </xf>
    <xf borderId="2" fillId="15" fontId="10" numFmtId="0" xfId="0" applyAlignment="1" applyBorder="1" applyFill="1" applyFont="1">
      <alignment horizontal="center" vertical="center"/>
    </xf>
    <xf borderId="6" fillId="15" fontId="10" numFmtId="46" xfId="0" applyBorder="1" applyFont="1" applyNumberFormat="1"/>
    <xf borderId="1" fillId="16" fontId="4" numFmtId="0" xfId="0" applyAlignment="1" applyBorder="1" applyFill="1" applyFont="1">
      <alignment horizontal="center" readingOrder="0" vertical="center"/>
    </xf>
    <xf borderId="2" fillId="16" fontId="4" numFmtId="0" xfId="0" applyAlignment="1" applyBorder="1" applyFont="1">
      <alignment horizontal="center" readingOrder="0"/>
    </xf>
    <xf borderId="6" fillId="16" fontId="4" numFmtId="0" xfId="0" applyAlignment="1" applyBorder="1" applyFont="1">
      <alignment readingOrder="0" vertical="bottom"/>
    </xf>
    <xf borderId="6" fillId="16" fontId="4" numFmtId="0" xfId="0" applyAlignment="1" applyBorder="1" applyFont="1">
      <alignment vertical="bottom"/>
    </xf>
    <xf borderId="6" fillId="17" fontId="8" numFmtId="0" xfId="0" applyAlignment="1" applyBorder="1" applyFill="1" applyFont="1">
      <alignment vertical="bottom"/>
    </xf>
    <xf borderId="6" fillId="17" fontId="27" numFmtId="0" xfId="0" applyAlignment="1" applyBorder="1" applyFont="1">
      <alignment horizontal="center" vertical="bottom"/>
    </xf>
    <xf borderId="6" fillId="17" fontId="28" numFmtId="46" xfId="0" applyAlignment="1" applyBorder="1" applyFont="1" applyNumberFormat="1">
      <alignment horizontal="right" readingOrder="0" shrinkToFit="0" vertical="bottom" wrapText="0"/>
    </xf>
    <xf borderId="6" fillId="16" fontId="4" numFmtId="0" xfId="0" applyAlignment="1" applyBorder="1" applyFont="1">
      <alignment horizontal="center" readingOrder="0" vertical="center"/>
    </xf>
    <xf borderId="6" fillId="17" fontId="27" numFmtId="164" xfId="0" applyAlignment="1" applyBorder="1" applyFont="1" applyNumberFormat="1">
      <alignment horizontal="center" vertical="bottom"/>
    </xf>
    <xf borderId="9" fillId="17" fontId="29" numFmtId="0" xfId="0" applyAlignment="1" applyBorder="1" applyFont="1">
      <alignment horizontal="center" readingOrder="0"/>
    </xf>
    <xf borderId="6" fillId="17" fontId="11" numFmtId="0" xfId="0" applyAlignment="1" applyBorder="1" applyFont="1">
      <alignment horizontal="center"/>
    </xf>
    <xf borderId="6" fillId="17" fontId="11" numFmtId="18" xfId="0" applyBorder="1" applyFont="1" applyNumberFormat="1"/>
    <xf borderId="6" fillId="17" fontId="11" numFmtId="21" xfId="0" applyBorder="1" applyFont="1" applyNumberFormat="1"/>
    <xf borderId="6" fillId="17" fontId="11" numFmtId="0" xfId="0" applyAlignment="1" applyBorder="1" applyFont="1">
      <alignment horizontal="center" vertical="center"/>
    </xf>
    <xf borderId="6" fillId="17" fontId="8" numFmtId="18" xfId="0" applyAlignment="1" applyBorder="1" applyFont="1" applyNumberFormat="1">
      <alignment readingOrder="0"/>
    </xf>
    <xf borderId="6" fillId="17" fontId="8" numFmtId="0" xfId="0" applyAlignment="1" applyBorder="1" applyFont="1">
      <alignment horizontal="center" readingOrder="0" vertical="center"/>
    </xf>
    <xf borderId="9" fillId="16" fontId="30" numFmtId="46" xfId="0" applyAlignment="1" applyBorder="1" applyFont="1" applyNumberFormat="1">
      <alignment horizontal="center" vertical="center"/>
    </xf>
    <xf borderId="6" fillId="17" fontId="8" numFmtId="165" xfId="0" applyAlignment="1" applyBorder="1" applyFont="1" applyNumberFormat="1">
      <alignment readingOrder="0"/>
    </xf>
    <xf borderId="6" fillId="17" fontId="11" numFmtId="0" xfId="0" applyBorder="1" applyFont="1"/>
    <xf borderId="6" fillId="18" fontId="31" numFmtId="165" xfId="0" applyAlignment="1" applyBorder="1" applyFill="1" applyFont="1" applyNumberFormat="1">
      <alignment readingOrder="0" shrinkToFit="0" vertical="bottom" wrapText="0"/>
    </xf>
    <xf borderId="6" fillId="18" fontId="8" numFmtId="165" xfId="0" applyAlignment="1" applyBorder="1" applyFont="1" applyNumberFormat="1">
      <alignment horizontal="right" vertical="bottom"/>
    </xf>
    <xf borderId="6" fillId="18" fontId="8" numFmtId="165" xfId="0" applyAlignment="1" applyBorder="1" applyFont="1" applyNumberFormat="1">
      <alignment horizontal="right" readingOrder="0" vertical="bottom"/>
    </xf>
    <xf borderId="6" fillId="17" fontId="18" numFmtId="0" xfId="0" applyBorder="1" applyFont="1"/>
    <xf borderId="2" fillId="17" fontId="7" numFmtId="0" xfId="0" applyAlignment="1" applyBorder="1" applyFont="1">
      <alignment horizontal="center" readingOrder="0"/>
    </xf>
    <xf borderId="6" fillId="17" fontId="11" numFmtId="18" xfId="0" applyAlignment="1" applyBorder="1" applyFont="1" applyNumberFormat="1">
      <alignment readingOrder="0"/>
    </xf>
    <xf borderId="2" fillId="17" fontId="2" numFmtId="0" xfId="0" applyAlignment="1" applyBorder="1" applyFont="1">
      <alignment horizontal="center" vertical="center"/>
    </xf>
    <xf borderId="6" fillId="17" fontId="22" numFmtId="46" xfId="0" applyBorder="1" applyFont="1" applyNumberFormat="1"/>
    <xf borderId="2" fillId="19" fontId="7" numFmtId="0" xfId="0" applyAlignment="1" applyBorder="1" applyFill="1" applyFont="1">
      <alignment horizontal="center" readingOrder="0"/>
    </xf>
    <xf borderId="8" fillId="20" fontId="32" numFmtId="46" xfId="0" applyAlignment="1" applyBorder="1" applyFill="1" applyFont="1" applyNumberFormat="1">
      <alignment horizontal="center" vertical="center"/>
    </xf>
    <xf borderId="9" fillId="21" fontId="33" numFmtId="0" xfId="0" applyAlignment="1" applyBorder="1" applyFill="1" applyFont="1">
      <alignment horizontal="center" vertical="center"/>
    </xf>
    <xf borderId="6" fillId="17" fontId="8" numFmtId="0" xfId="0" applyAlignment="1" applyBorder="1" applyFont="1">
      <alignment horizontal="center" readingOrder="0"/>
    </xf>
    <xf borderId="0" fillId="0" fontId="2" numFmtId="46" xfId="0" applyFont="1" applyNumberFormat="1"/>
    <xf borderId="6" fillId="16" fontId="2" numFmtId="0" xfId="0" applyAlignment="1" applyBorder="1" applyFont="1">
      <alignment horizontal="center" vertical="center"/>
    </xf>
    <xf borderId="6" fillId="16" fontId="34" numFmtId="46" xfId="0" applyBorder="1" applyFont="1" applyNumberFormat="1"/>
    <xf borderId="2" fillId="16" fontId="2" numFmtId="0" xfId="0" applyAlignment="1" applyBorder="1" applyFont="1">
      <alignment horizontal="center" vertical="center"/>
    </xf>
    <xf borderId="6" fillId="16" fontId="10" numFmtId="46" xfId="0" applyBorder="1" applyFont="1" applyNumberFormat="1"/>
    <xf borderId="1" fillId="22" fontId="35" numFmtId="0" xfId="0" applyAlignment="1" applyBorder="1" applyFill="1" applyFont="1">
      <alignment horizontal="center" readingOrder="0" shrinkToFit="0" wrapText="0"/>
    </xf>
    <xf borderId="2" fillId="22" fontId="35" numFmtId="0" xfId="0" applyAlignment="1" applyBorder="1" applyFont="1">
      <alignment horizontal="center" readingOrder="0" shrinkToFit="0" vertical="bottom" wrapText="0"/>
    </xf>
    <xf borderId="0" fillId="0" fontId="36" numFmtId="0" xfId="0" applyAlignment="1" applyFont="1">
      <alignment shrinkToFit="0" vertical="bottom" wrapText="0"/>
    </xf>
    <xf borderId="1" fillId="22" fontId="2" numFmtId="0" xfId="0" applyAlignment="1" applyBorder="1" applyFont="1">
      <alignment horizontal="center" vertical="center"/>
    </xf>
    <xf borderId="2" fillId="22" fontId="4" numFmtId="0" xfId="0" applyAlignment="1" applyBorder="1" applyFont="1">
      <alignment horizontal="center" readingOrder="0"/>
    </xf>
    <xf borderId="6" fillId="22" fontId="4" numFmtId="0" xfId="0" applyAlignment="1" applyBorder="1" applyFont="1">
      <alignment vertical="bottom"/>
    </xf>
    <xf borderId="2" fillId="22" fontId="2" numFmtId="0" xfId="0" applyAlignment="1" applyBorder="1" applyFont="1">
      <alignment horizontal="center"/>
    </xf>
    <xf borderId="6" fillId="23" fontId="8" numFmtId="0" xfId="0" applyAlignment="1" applyBorder="1" applyFill="1" applyFont="1">
      <alignment vertical="bottom"/>
    </xf>
    <xf borderId="6" fillId="23" fontId="27" numFmtId="0" xfId="0" applyAlignment="1" applyBorder="1" applyFont="1">
      <alignment horizontal="center" vertical="bottom"/>
    </xf>
    <xf borderId="6" fillId="23" fontId="28" numFmtId="46" xfId="0" applyAlignment="1" applyBorder="1" applyFont="1" applyNumberFormat="1">
      <alignment horizontal="right" readingOrder="0" shrinkToFit="0" vertical="bottom" wrapText="0"/>
    </xf>
    <xf borderId="9" fillId="0" fontId="37" numFmtId="0" xfId="0" applyAlignment="1" applyBorder="1" applyFont="1">
      <alignment horizontal="center" readingOrder="0" vertical="bottom"/>
    </xf>
    <xf borderId="6" fillId="22" fontId="35" numFmtId="0" xfId="0" applyAlignment="1" applyBorder="1" applyFont="1">
      <alignment horizontal="center" readingOrder="0" shrinkToFit="0" wrapText="0"/>
    </xf>
    <xf borderId="6" fillId="22" fontId="2" numFmtId="0" xfId="0" applyAlignment="1" applyBorder="1" applyFont="1">
      <alignment horizontal="center" vertical="center"/>
    </xf>
    <xf borderId="6" fillId="23" fontId="27" numFmtId="164" xfId="0" applyAlignment="1" applyBorder="1" applyFont="1" applyNumberFormat="1">
      <alignment horizontal="center" vertical="bottom"/>
    </xf>
    <xf borderId="6" fillId="23" fontId="36" numFmtId="0" xfId="0" applyAlignment="1" applyBorder="1" applyFont="1">
      <alignment horizontal="center" readingOrder="0" shrinkToFit="0" wrapText="0"/>
    </xf>
    <xf borderId="6" fillId="23" fontId="36" numFmtId="165" xfId="0" applyAlignment="1" applyBorder="1" applyFont="1" applyNumberFormat="1">
      <alignment horizontal="right" readingOrder="0" shrinkToFit="0" vertical="bottom" wrapText="0"/>
    </xf>
    <xf borderId="6" fillId="23" fontId="31" numFmtId="165" xfId="0" applyAlignment="1" applyBorder="1" applyFont="1" applyNumberFormat="1">
      <alignment horizontal="right" readingOrder="0" shrinkToFit="0" vertical="bottom" wrapText="0"/>
    </xf>
    <xf borderId="6" fillId="23" fontId="35" numFmtId="21" xfId="0" applyAlignment="1" applyBorder="1" applyFont="1" applyNumberFormat="1">
      <alignment horizontal="right" readingOrder="0" shrinkToFit="0" vertical="bottom" wrapText="0"/>
    </xf>
    <xf borderId="6" fillId="23" fontId="31" numFmtId="21" xfId="0" applyAlignment="1" applyBorder="1" applyFont="1" applyNumberFormat="1">
      <alignment horizontal="right" readingOrder="0" shrinkToFit="0" vertical="bottom" wrapText="0"/>
    </xf>
    <xf borderId="6" fillId="23" fontId="8" numFmtId="0" xfId="0" applyAlignment="1" applyBorder="1" applyFont="1">
      <alignment horizontal="center" readingOrder="0" vertical="center"/>
    </xf>
    <xf borderId="6" fillId="23" fontId="31" numFmtId="165" xfId="0" applyAlignment="1" applyBorder="1" applyFont="1" applyNumberFormat="1">
      <alignment readingOrder="0" shrinkToFit="0" vertical="bottom" wrapText="0"/>
    </xf>
    <xf borderId="6" fillId="23" fontId="11" numFmtId="21" xfId="0" applyBorder="1" applyFont="1" applyNumberFormat="1"/>
    <xf borderId="9" fillId="22" fontId="38" numFmtId="46" xfId="0" applyAlignment="1" applyBorder="1" applyFont="1" applyNumberFormat="1">
      <alignment horizontal="center" readingOrder="0" shrinkToFit="0" wrapText="0"/>
    </xf>
    <xf borderId="6" fillId="23" fontId="36" numFmtId="0" xfId="0" applyAlignment="1" applyBorder="1" applyFont="1">
      <alignment shrinkToFit="0" vertical="bottom" wrapText="0"/>
    </xf>
    <xf borderId="6" fillId="23" fontId="8" numFmtId="165" xfId="0" applyAlignment="1" applyBorder="1" applyFont="1" applyNumberFormat="1">
      <alignment horizontal="right" readingOrder="0" vertical="bottom"/>
    </xf>
    <xf borderId="6" fillId="23" fontId="8" numFmtId="165" xfId="0" applyAlignment="1" applyBorder="1" applyFont="1" applyNumberFormat="1">
      <alignment horizontal="right" vertical="bottom"/>
    </xf>
    <xf borderId="6" fillId="23" fontId="8" numFmtId="165" xfId="0" applyAlignment="1" applyBorder="1" applyFont="1" applyNumberFormat="1">
      <alignment readingOrder="0"/>
    </xf>
    <xf borderId="6" fillId="23" fontId="11" numFmtId="18" xfId="0" applyBorder="1" applyFont="1" applyNumberFormat="1"/>
    <xf borderId="6" fillId="23" fontId="18" numFmtId="0" xfId="0" applyBorder="1" applyFont="1"/>
    <xf borderId="2" fillId="23" fontId="7" numFmtId="0" xfId="0" applyAlignment="1" applyBorder="1" applyFont="1">
      <alignment horizontal="center" readingOrder="0"/>
    </xf>
    <xf borderId="6" fillId="23" fontId="11" numFmtId="0" xfId="0" applyAlignment="1" applyBorder="1" applyFont="1">
      <alignment horizontal="center" vertical="center"/>
    </xf>
    <xf borderId="6" fillId="23" fontId="11" numFmtId="0" xfId="0" applyAlignment="1" applyBorder="1" applyFont="1">
      <alignment horizontal="center"/>
    </xf>
    <xf borderId="2" fillId="23" fontId="2" numFmtId="0" xfId="0" applyAlignment="1" applyBorder="1" applyFont="1">
      <alignment horizontal="center" vertical="center"/>
    </xf>
    <xf borderId="6" fillId="23" fontId="2" numFmtId="46" xfId="0" applyBorder="1" applyFont="1" applyNumberFormat="1"/>
    <xf borderId="6" fillId="23" fontId="31" numFmtId="0" xfId="0" applyAlignment="1" applyBorder="1" applyFon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9" fillId="0" fontId="39" numFmtId="0" xfId="0" applyAlignment="1" applyBorder="1" applyFont="1">
      <alignment shrinkToFit="0" vertical="center" wrapText="0"/>
    </xf>
    <xf borderId="10" fillId="24" fontId="40" numFmtId="0" xfId="0" applyAlignment="1" applyBorder="1" applyFill="1" applyFont="1">
      <alignment horizontal="center" shrinkToFit="0" vertical="center" wrapText="0"/>
    </xf>
    <xf borderId="9" fillId="22" fontId="21" numFmtId="0" xfId="0" applyAlignment="1" applyBorder="1" applyFont="1">
      <alignment horizontal="center" readingOrder="0"/>
    </xf>
    <xf borderId="9" fillId="4" fontId="24" numFmtId="46" xfId="0" applyAlignment="1" applyBorder="1" applyFont="1" applyNumberFormat="1">
      <alignment horizontal="center" readingOrder="0" vertical="center"/>
    </xf>
    <xf borderId="6" fillId="23" fontId="31" numFmtId="0" xfId="0" applyAlignment="1" applyBorder="1" applyFont="1">
      <alignment horizontal="center" readingOrder="0" shrinkToFit="0" wrapText="0"/>
    </xf>
    <xf borderId="6" fillId="23" fontId="31" numFmtId="0" xfId="0" applyAlignment="1" applyBorder="1" applyFont="1">
      <alignment horizontal="center" readingOrder="0" shrinkToFit="0" vertical="bottom" wrapText="0"/>
    </xf>
    <xf borderId="2" fillId="23" fontId="28" numFmtId="0" xfId="0" applyAlignment="1" applyBorder="1" applyFont="1">
      <alignment horizontal="center" readingOrder="0" shrinkToFit="0" wrapText="0"/>
    </xf>
    <xf borderId="2" fillId="23" fontId="10" numFmtId="0" xfId="0" applyAlignment="1" applyBorder="1" applyFont="1">
      <alignment horizontal="center" vertical="center"/>
    </xf>
    <xf borderId="6" fillId="23" fontId="10" numFmtId="46" xfId="0" applyBorder="1" applyFont="1" applyNumberFormat="1"/>
    <xf borderId="9" fillId="25" fontId="41" numFmtId="0" xfId="0" applyAlignment="1" applyBorder="1" applyFill="1" applyFont="1">
      <alignment horizontal="center" readingOrder="0" vertical="bottom"/>
    </xf>
    <xf borderId="1" fillId="26" fontId="42" numFmtId="0" xfId="0" applyAlignment="1" applyBorder="1" applyFill="1" applyFont="1">
      <alignment horizontal="center" readingOrder="0" shrinkToFit="0" wrapText="0"/>
    </xf>
    <xf borderId="2" fillId="26" fontId="42" numFmtId="0" xfId="0" applyAlignment="1" applyBorder="1" applyFont="1">
      <alignment horizontal="center" readingOrder="0" shrinkToFit="0" vertical="bottom" wrapText="0"/>
    </xf>
    <xf borderId="2" fillId="26" fontId="43" numFmtId="0" xfId="0" applyAlignment="1" applyBorder="1" applyFont="1">
      <alignment horizontal="center" readingOrder="0" shrinkToFit="0" vertical="bottom" wrapText="0"/>
    </xf>
    <xf borderId="6" fillId="26" fontId="4" numFmtId="0" xfId="0" applyAlignment="1" applyBorder="1" applyFont="1">
      <alignment vertical="bottom"/>
    </xf>
    <xf borderId="6" fillId="17" fontId="9" numFmtId="0" xfId="0" applyAlignment="1" applyBorder="1" applyFont="1">
      <alignment horizontal="center" vertical="bottom"/>
    </xf>
    <xf borderId="6" fillId="17" fontId="10" numFmtId="46" xfId="0" applyAlignment="1" applyBorder="1" applyFont="1" applyNumberFormat="1">
      <alignment horizontal="right" vertical="bottom"/>
    </xf>
    <xf borderId="0" fillId="25" fontId="44" numFmtId="46" xfId="0" applyAlignment="1" applyFont="1" applyNumberFormat="1">
      <alignment horizontal="center" readingOrder="0" shrinkToFit="0" wrapText="0"/>
    </xf>
    <xf borderId="6" fillId="26" fontId="42" numFmtId="0" xfId="0" applyAlignment="1" applyBorder="1" applyFont="1">
      <alignment horizontal="center" readingOrder="0" shrinkToFit="0" wrapText="0"/>
    </xf>
    <xf borderId="6" fillId="17" fontId="9" numFmtId="164" xfId="0" applyAlignment="1" applyBorder="1" applyFont="1" applyNumberFormat="1">
      <alignment horizontal="center" vertical="bottom"/>
    </xf>
    <xf borderId="6" fillId="0" fontId="36" numFmtId="0" xfId="0" applyAlignment="1" applyBorder="1" applyFont="1">
      <alignment horizontal="center" readingOrder="0" shrinkToFit="0" wrapText="0"/>
    </xf>
    <xf borderId="6" fillId="0" fontId="31" numFmtId="165" xfId="0" applyAlignment="1" applyBorder="1" applyFont="1" applyNumberFormat="1">
      <alignment horizontal="right" readingOrder="0" shrinkToFit="0" vertical="bottom" wrapText="0"/>
    </xf>
    <xf borderId="6" fillId="0" fontId="36" numFmtId="165" xfId="0" applyAlignment="1" applyBorder="1" applyFont="1" applyNumberFormat="1">
      <alignment horizontal="right" readingOrder="0" shrinkToFit="0" vertical="bottom" wrapText="0"/>
    </xf>
    <xf borderId="6" fillId="0" fontId="35" numFmtId="21" xfId="0" applyAlignment="1" applyBorder="1" applyFont="1" applyNumberFormat="1">
      <alignment horizontal="right" readingOrder="0" shrinkToFit="0" vertical="bottom" wrapText="0"/>
    </xf>
    <xf borderId="6" fillId="0" fontId="36" numFmtId="21" xfId="0" applyAlignment="1" applyBorder="1" applyFont="1" applyNumberFormat="1">
      <alignment horizontal="right" readingOrder="0" shrinkToFit="0" vertical="bottom" wrapText="0"/>
    </xf>
    <xf borderId="6" fillId="0" fontId="31" numFmtId="165" xfId="0" applyAlignment="1" applyBorder="1" applyFont="1" applyNumberFormat="1">
      <alignment readingOrder="0" shrinkToFit="0" vertical="bottom" wrapText="0"/>
    </xf>
    <xf borderId="6" fillId="0" fontId="8" numFmtId="165" xfId="0" applyAlignment="1" applyBorder="1" applyFont="1" applyNumberFormat="1">
      <alignment horizontal="right" vertical="bottom"/>
    </xf>
    <xf borderId="6" fillId="0" fontId="8" numFmtId="165" xfId="0" applyAlignment="1" applyBorder="1" applyFont="1" applyNumberFormat="1">
      <alignment horizontal="right" readingOrder="0" vertical="bottom"/>
    </xf>
    <xf borderId="6" fillId="0" fontId="31" numFmtId="0" xfId="0" applyAlignment="1" applyBorder="1" applyFont="1">
      <alignment horizontal="center" readingOrder="0" shrinkToFit="0" wrapText="0"/>
    </xf>
    <xf borderId="6" fillId="0" fontId="36" numFmtId="0" xfId="0" applyAlignment="1" applyBorder="1" applyFont="1">
      <alignment shrinkToFit="0" vertical="bottom" wrapText="0"/>
    </xf>
    <xf borderId="6" fillId="17" fontId="11" numFmtId="0" xfId="0" applyAlignment="1" applyBorder="1" applyFont="1">
      <alignment vertical="bottom"/>
    </xf>
    <xf borderId="1" fillId="27" fontId="35" numFmtId="0" xfId="0" applyAlignment="1" applyBorder="1" applyFill="1" applyFont="1">
      <alignment horizontal="center" readingOrder="0" shrinkToFit="0" wrapText="0"/>
    </xf>
    <xf borderId="2" fillId="27" fontId="35" numFmtId="0" xfId="0" applyAlignment="1" applyBorder="1" applyFont="1">
      <alignment horizontal="center" readingOrder="0" shrinkToFit="0" vertical="bottom" wrapText="0"/>
    </xf>
    <xf borderId="6" fillId="17" fontId="4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6" fillId="27" fontId="35" numFmtId="0" xfId="0" applyAlignment="1" applyBorder="1" applyFont="1">
      <alignment horizontal="center" readingOrder="0" shrinkToFit="0" wrapText="0"/>
    </xf>
    <xf borderId="2" fillId="0" fontId="28" numFmtId="0" xfId="0" applyAlignment="1" applyBorder="1" applyFont="1">
      <alignment horizontal="center" readingOrder="0" shrinkToFit="0" wrapText="0"/>
    </xf>
    <xf borderId="6" fillId="0" fontId="28" numFmtId="21" xfId="0" applyAlignment="1" applyBorder="1" applyFont="1" applyNumberFormat="1">
      <alignment horizontal="right" readingOrder="0" shrinkToFit="0" vertical="bottom" wrapText="0"/>
    </xf>
    <xf borderId="2" fillId="25" fontId="45" numFmtId="0" xfId="0" applyAlignment="1" applyBorder="1" applyFont="1">
      <alignment horizontal="center" readingOrder="0"/>
    </xf>
    <xf borderId="8" fillId="25" fontId="46" numFmtId="46" xfId="0" applyAlignment="1" applyBorder="1" applyFont="1" applyNumberFormat="1">
      <alignment horizontal="center" readingOrder="0" vertical="center"/>
    </xf>
    <xf borderId="9" fillId="25" fontId="47" numFmtId="0" xfId="0" applyAlignment="1" applyBorder="1" applyFont="1">
      <alignment horizontal="center" vertical="center"/>
    </xf>
    <xf borderId="6" fillId="0" fontId="31" numFmtId="0" xfId="0" applyAlignment="1" applyBorder="1" applyFont="1">
      <alignment horizontal="center" readingOrder="0" shrinkToFit="0" vertical="bottom" wrapText="0"/>
    </xf>
    <xf borderId="6" fillId="0" fontId="28" numFmtId="46" xfId="0" applyAlignment="1" applyBorder="1" applyFont="1" applyNumberFormat="1">
      <alignment horizontal="right" readingOrder="0" shrinkToFit="0" vertical="bottom" wrapText="0"/>
    </xf>
    <xf borderId="0" fillId="28" fontId="18" numFmtId="0" xfId="0" applyFill="1" applyFont="1"/>
    <xf borderId="0" fillId="25" fontId="48" numFmtId="0" xfId="0" applyAlignment="1" applyFont="1">
      <alignment horizontal="center" readingOrder="0" vertical="center"/>
    </xf>
    <xf borderId="24" fillId="29" fontId="42" numFmtId="0" xfId="0" applyAlignment="1" applyBorder="1" applyFill="1" applyFont="1">
      <alignment horizontal="center" readingOrder="0" shrinkToFit="0" wrapText="0"/>
    </xf>
    <xf borderId="25" fillId="29" fontId="42" numFmtId="0" xfId="0" applyAlignment="1" applyBorder="1" applyFont="1">
      <alignment horizontal="center" readingOrder="0" shrinkToFit="0" vertical="bottom" wrapText="0"/>
    </xf>
    <xf borderId="26" fillId="0" fontId="3" numFmtId="0" xfId="0" applyBorder="1" applyFont="1"/>
    <xf borderId="27" fillId="0" fontId="3" numFmtId="0" xfId="0" applyBorder="1" applyFont="1"/>
    <xf borderId="25" fillId="29" fontId="43" numFmtId="0" xfId="0" applyAlignment="1" applyBorder="1" applyFont="1">
      <alignment horizontal="center" readingOrder="0" shrinkToFit="0" vertical="bottom" wrapText="0"/>
    </xf>
    <xf borderId="0" fillId="0" fontId="35" numFmtId="21" xfId="0" applyAlignment="1" applyFont="1" applyNumberFormat="1">
      <alignment horizontal="right" readingOrder="0" shrinkToFit="0" vertical="bottom" wrapText="0"/>
    </xf>
    <xf borderId="6" fillId="10" fontId="4" numFmtId="0" xfId="0" applyAlignment="1" applyBorder="1" applyFont="1">
      <alignment vertical="bottom"/>
    </xf>
    <xf borderId="28" fillId="0" fontId="3" numFmtId="0" xfId="0" applyBorder="1" applyFont="1"/>
    <xf borderId="0" fillId="30" fontId="49" numFmtId="0" xfId="0" applyAlignment="1" applyFill="1" applyFont="1">
      <alignment horizontal="center" readingOrder="0" vertical="bottom"/>
    </xf>
    <xf borderId="29" fillId="0" fontId="3" numFmtId="0" xfId="0" applyBorder="1" applyFont="1"/>
    <xf borderId="30" fillId="29" fontId="42" numFmtId="0" xfId="0" applyAlignment="1" applyBorder="1" applyFont="1">
      <alignment horizontal="center" readingOrder="0" shrinkToFit="0" wrapText="0"/>
    </xf>
    <xf borderId="0" fillId="0" fontId="50" numFmtId="0" xfId="0" applyFont="1"/>
    <xf borderId="0" fillId="0" fontId="51" numFmtId="0" xfId="0" applyAlignment="1" applyFont="1">
      <alignment readingOrder="0"/>
    </xf>
    <xf borderId="0" fillId="29" fontId="52" numFmtId="46" xfId="0" applyAlignment="1" applyFont="1" applyNumberFormat="1">
      <alignment horizontal="center" readingOrder="0" shrinkToFit="0" vertical="center" wrapText="0"/>
    </xf>
    <xf borderId="30" fillId="0" fontId="53" numFmtId="0" xfId="0" applyAlignment="1" applyBorder="1" applyFont="1">
      <alignment horizontal="center" readingOrder="0" shrinkToFit="0" wrapText="0"/>
    </xf>
    <xf borderId="30" fillId="0" fontId="53" numFmtId="166" xfId="0" applyAlignment="1" applyBorder="1" applyFont="1" applyNumberFormat="1">
      <alignment readingOrder="0" shrinkToFit="0" vertical="bottom" wrapText="0"/>
    </xf>
    <xf borderId="30" fillId="0" fontId="54" numFmtId="21" xfId="0" applyAlignment="1" applyBorder="1" applyFont="1" applyNumberFormat="1">
      <alignment horizontal="right" readingOrder="0" shrinkToFit="0" vertical="bottom" wrapText="0"/>
    </xf>
    <xf borderId="30" fillId="0" fontId="55" numFmtId="166" xfId="0" applyAlignment="1" applyBorder="1" applyFont="1" applyNumberFormat="1">
      <alignment readingOrder="0" shrinkToFit="0" vertical="bottom" wrapText="0"/>
    </xf>
    <xf borderId="30" fillId="0" fontId="55" numFmtId="0" xfId="0" applyAlignment="1" applyBorder="1" applyFont="1">
      <alignment horizontal="center" readingOrder="0" shrinkToFit="0" wrapText="0"/>
    </xf>
    <xf borderId="30" fillId="0" fontId="53" numFmtId="166" xfId="0" applyAlignment="1" applyBorder="1" applyFont="1" applyNumberFormat="1">
      <alignment shrinkToFit="0" vertical="bottom" wrapText="0"/>
    </xf>
    <xf borderId="0" fillId="31" fontId="56" numFmtId="0" xfId="0" applyAlignment="1" applyFill="1" applyFont="1">
      <alignment horizontal="center" readingOrder="0"/>
    </xf>
    <xf borderId="0" fillId="25" fontId="57" numFmtId="4" xfId="0" applyAlignment="1" applyFont="1" applyNumberFormat="1">
      <alignment horizontal="center" vertical="center"/>
    </xf>
    <xf borderId="0" fillId="0" fontId="42" numFmtId="21" xfId="0" applyAlignment="1" applyFont="1" applyNumberFormat="1">
      <alignment horizontal="right" readingOrder="0" shrinkToFit="0" vertical="bottom" wrapText="0"/>
    </xf>
    <xf borderId="0" fillId="31" fontId="58" numFmtId="0" xfId="0" applyAlignment="1" applyFont="1">
      <alignment horizontal="center" readingOrder="0" vertical="center"/>
    </xf>
    <xf borderId="0" fillId="32" fontId="20" numFmtId="167" xfId="0" applyAlignment="1" applyFill="1" applyFont="1" applyNumberFormat="1">
      <alignment horizontal="center" vertical="center"/>
    </xf>
    <xf borderId="0" fillId="0" fontId="18" numFmtId="46" xfId="0" applyAlignment="1" applyFont="1" applyNumberFormat="1">
      <alignment horizontal="center"/>
    </xf>
    <xf borderId="0" fillId="0" fontId="19" numFmtId="49" xfId="0" applyAlignment="1" applyFont="1" applyNumberFormat="1">
      <alignment horizontal="right" readingOrder="0"/>
    </xf>
    <xf borderId="30" fillId="0" fontId="55" numFmtId="166" xfId="0" applyAlignment="1" applyBorder="1" applyFont="1" applyNumberFormat="1">
      <alignment readingOrder="0" shrinkToFit="0" vertical="bottom" wrapText="0"/>
    </xf>
    <xf borderId="30" fillId="0" fontId="59" numFmtId="21" xfId="0" applyBorder="1" applyFont="1" applyNumberFormat="1"/>
    <xf borderId="0" fillId="0" fontId="19" numFmtId="168" xfId="0" applyAlignment="1" applyFont="1" applyNumberFormat="1">
      <alignment readingOrder="0"/>
    </xf>
    <xf borderId="30" fillId="0" fontId="55" numFmtId="165" xfId="0" applyAlignment="1" applyBorder="1" applyFont="1" applyNumberFormat="1">
      <alignment readingOrder="0" shrinkToFit="0" vertical="bottom" wrapText="0"/>
    </xf>
    <xf borderId="0" fillId="0" fontId="36" numFmtId="166" xfId="0" applyAlignment="1" applyFont="1" applyNumberFormat="1">
      <alignment shrinkToFit="0" vertical="bottom" wrapText="0"/>
    </xf>
    <xf borderId="25" fillId="0" fontId="60" numFmtId="0" xfId="0" applyAlignment="1" applyBorder="1" applyFont="1">
      <alignment horizontal="center" readingOrder="0" shrinkToFit="0" wrapText="0"/>
    </xf>
    <xf borderId="30" fillId="0" fontId="61" numFmtId="46" xfId="0" applyBorder="1" applyFont="1" applyNumberFormat="1"/>
    <xf borderId="30" fillId="0" fontId="53" numFmtId="0" xfId="0" applyAlignment="1" applyBorder="1" applyFont="1">
      <alignment shrinkToFit="0" vertical="bottom" wrapText="0"/>
    </xf>
    <xf borderId="30" fillId="0" fontId="60" numFmtId="46" xfId="0" applyAlignment="1" applyBorder="1" applyFont="1" applyNumberFormat="1">
      <alignment horizontal="right" readingOrder="0" shrinkToFit="0" vertical="bottom" wrapText="0"/>
    </xf>
    <xf borderId="0" fillId="0" fontId="28" numFmtId="46" xfId="0" applyAlignment="1" applyFont="1" applyNumberFormat="1">
      <alignment horizontal="right" readingOrder="0" shrinkToFit="0" vertical="bottom" wrapText="0"/>
    </xf>
    <xf borderId="24" fillId="20" fontId="42" numFmtId="0" xfId="0" applyAlignment="1" applyBorder="1" applyFont="1">
      <alignment horizontal="center" readingOrder="0" shrinkToFit="0" wrapText="0"/>
    </xf>
    <xf borderId="25" fillId="20" fontId="42" numFmtId="0" xfId="0" applyAlignment="1" applyBorder="1" applyFont="1">
      <alignment horizontal="center" readingOrder="0" shrinkToFit="0" vertical="bottom" wrapText="0"/>
    </xf>
    <xf borderId="1" fillId="20" fontId="42" numFmtId="0" xfId="0" applyAlignment="1" applyBorder="1" applyFont="1">
      <alignment horizontal="center" readingOrder="0" shrinkToFit="0" wrapText="0"/>
    </xf>
    <xf borderId="2" fillId="20" fontId="42" numFmtId="0" xfId="0" applyAlignment="1" applyBorder="1" applyFont="1">
      <alignment horizontal="center" readingOrder="0" shrinkToFit="0" vertical="bottom" wrapText="0"/>
    </xf>
    <xf borderId="1" fillId="20" fontId="2" numFmtId="0" xfId="0" applyAlignment="1" applyBorder="1" applyFont="1">
      <alignment horizontal="center" vertical="center"/>
    </xf>
    <xf borderId="2" fillId="20" fontId="4" numFmtId="0" xfId="0" applyAlignment="1" applyBorder="1" applyFont="1">
      <alignment horizontal="center" readingOrder="0"/>
    </xf>
    <xf borderId="6" fillId="20" fontId="4" numFmtId="0" xfId="0" applyAlignment="1" applyBorder="1" applyFont="1">
      <alignment readingOrder="0" vertical="bottom"/>
    </xf>
    <xf borderId="6" fillId="20" fontId="4" numFmtId="0" xfId="0" applyAlignment="1" applyBorder="1" applyFont="1">
      <alignment vertical="bottom"/>
    </xf>
    <xf borderId="2" fillId="20" fontId="2" numFmtId="0" xfId="0" applyAlignment="1" applyBorder="1" applyFont="1">
      <alignment horizontal="center"/>
    </xf>
    <xf borderId="30" fillId="20" fontId="42" numFmtId="0" xfId="0" applyAlignment="1" applyBorder="1" applyFont="1">
      <alignment horizontal="center" readingOrder="0" shrinkToFit="0" wrapText="0"/>
    </xf>
    <xf borderId="6" fillId="20" fontId="42" numFmtId="0" xfId="0" applyAlignment="1" applyBorder="1" applyFont="1">
      <alignment horizontal="center" readingOrder="0" shrinkToFit="0" wrapText="0"/>
    </xf>
    <xf borderId="6" fillId="20" fontId="2" numFmtId="0" xfId="0" applyAlignment="1" applyBorder="1" applyFont="1">
      <alignment horizontal="center" vertical="center"/>
    </xf>
    <xf borderId="9" fillId="20" fontId="62" numFmtId="0" xfId="0" applyAlignment="1" applyBorder="1" applyFont="1">
      <alignment horizontal="center" readingOrder="0" vertical="center"/>
    </xf>
    <xf borderId="30" fillId="0" fontId="55" numFmtId="166" xfId="0" applyAlignment="1" applyBorder="1" applyFont="1" applyNumberFormat="1">
      <alignment horizontal="center" readingOrder="0" shrinkToFit="0" vertical="bottom" wrapText="0"/>
    </xf>
    <xf borderId="6" fillId="0" fontId="31" numFmtId="165" xfId="0" applyAlignment="1" applyBorder="1" applyFont="1" applyNumberFormat="1">
      <alignment horizontal="center" readingOrder="0" shrinkToFit="0" vertical="bottom" wrapText="0"/>
    </xf>
    <xf borderId="6" fillId="0" fontId="36" numFmtId="165" xfId="0" applyAlignment="1" applyBorder="1" applyFont="1" applyNumberForma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vertical="center"/>
    </xf>
    <xf borderId="6" fillId="0" fontId="11" numFmtId="21" xfId="0" applyBorder="1" applyFont="1" applyNumberFormat="1"/>
    <xf borderId="30" fillId="0" fontId="53" numFmtId="166" xfId="0" applyAlignment="1" applyBorder="1" applyFont="1" applyNumberFormat="1">
      <alignment horizontal="center" readingOrder="0" shrinkToFit="0" vertical="bottom" wrapText="0"/>
    </xf>
    <xf borderId="6" fillId="0" fontId="8" numFmtId="165" xfId="0" applyAlignment="1" applyBorder="1" applyFont="1" applyNumberFormat="1">
      <alignment horizontal="center" vertical="bottom"/>
    </xf>
    <xf borderId="6" fillId="0" fontId="8" numFmtId="165" xfId="0" applyAlignment="1" applyBorder="1" applyFont="1" applyNumberFormat="1">
      <alignment horizontal="center" readingOrder="0" vertical="bottom"/>
    </xf>
    <xf borderId="2" fillId="33" fontId="49" numFmtId="0" xfId="0" applyAlignment="1" applyBorder="1" applyFill="1" applyFont="1">
      <alignment horizontal="center" readingOrder="0" vertical="bottom"/>
    </xf>
    <xf borderId="9" fillId="20" fontId="52" numFmtId="46" xfId="0" applyAlignment="1" applyBorder="1" applyFont="1" applyNumberFormat="1">
      <alignment horizontal="center" readingOrder="0" shrinkToFit="0" vertical="center" wrapText="0"/>
    </xf>
    <xf borderId="6" fillId="0" fontId="36" numFmtId="0" xfId="0" applyAlignment="1" applyBorder="1" applyFont="1">
      <alignment horizontal="center" shrinkToFit="0" vertical="bottom" wrapText="0"/>
    </xf>
    <xf borderId="6" fillId="0" fontId="36" numFmtId="165" xfId="0" applyAlignment="1" applyBorder="1" applyFont="1" applyNumberFormat="1">
      <alignment horizontal="center" readingOrder="0" shrinkToFit="0" vertical="bottom" wrapText="0"/>
    </xf>
    <xf borderId="6" fillId="20" fontId="11" numFmtId="0" xfId="0" applyAlignment="1" applyBorder="1" applyFont="1">
      <alignment vertical="bottom"/>
    </xf>
    <xf borderId="6" fillId="20" fontId="10" numFmtId="46" xfId="0" applyAlignment="1" applyBorder="1" applyFont="1" applyNumberFormat="1">
      <alignment horizontal="right" vertical="bottom"/>
    </xf>
    <xf borderId="2" fillId="31" fontId="56" numFmtId="0" xfId="0" applyAlignment="1" applyBorder="1" applyFont="1">
      <alignment horizontal="center" readingOrder="0"/>
    </xf>
    <xf borderId="9" fillId="20" fontId="57" numFmtId="4" xfId="0" applyAlignment="1" applyBorder="1" applyFont="1" applyNumberFormat="1">
      <alignment horizontal="center" vertical="center"/>
    </xf>
    <xf borderId="6" fillId="0" fontId="11" numFmtId="0" xfId="0" applyAlignment="1" applyBorder="1" applyFont="1">
      <alignment horizontal="center" vertical="center"/>
    </xf>
    <xf borderId="30" fillId="0" fontId="53" numFmtId="166" xfId="0" applyAlignment="1" applyBorder="1" applyFont="1" applyNumberFormat="1">
      <alignment horizontal="center" shrinkToFit="0" vertical="bottom" wrapText="0"/>
    </xf>
    <xf borderId="1" fillId="31" fontId="58" numFmtId="0" xfId="0" applyAlignment="1" applyBorder="1" applyFont="1">
      <alignment horizontal="center" readingOrder="0" vertical="center"/>
    </xf>
    <xf borderId="9" fillId="20" fontId="63" numFmtId="167" xfId="0" applyAlignment="1" applyBorder="1" applyFont="1" applyNumberFormat="1">
      <alignment horizontal="center" vertical="center"/>
    </xf>
    <xf borderId="25" fillId="20" fontId="43" numFmtId="0" xfId="0" applyAlignment="1" applyBorder="1" applyFont="1">
      <alignment horizontal="center" readingOrder="0" shrinkToFit="0" vertical="bottom" wrapText="0"/>
    </xf>
    <xf borderId="24" fillId="20" fontId="43" numFmtId="0" xfId="0" applyAlignment="1" applyBorder="1" applyFont="1">
      <alignment horizontal="center" readingOrder="0" shrinkToFit="0" wrapText="0"/>
    </xf>
    <xf borderId="25" fillId="20" fontId="64" numFmtId="0" xfId="0" applyAlignment="1" applyBorder="1" applyFont="1">
      <alignment horizontal="center" readingOrder="0" shrinkToFit="0" wrapText="0"/>
    </xf>
    <xf borderId="30" fillId="20" fontId="10" numFmtId="46" xfId="0" applyBorder="1" applyFont="1" applyNumberFormat="1"/>
    <xf borderId="31" fillId="0" fontId="19" numFmtId="0" xfId="0" applyAlignment="1" applyBorder="1" applyFont="1">
      <alignment horizontal="left" readingOrder="0"/>
    </xf>
    <xf borderId="31" fillId="0" fontId="19" numFmtId="0" xfId="0" applyAlignment="1" applyBorder="1" applyFont="1">
      <alignment horizontal="left"/>
    </xf>
    <xf borderId="25" fillId="20" fontId="65" numFmtId="0" xfId="0" applyAlignment="1" applyBorder="1" applyFont="1">
      <alignment horizontal="center" readingOrder="0" shrinkToFit="0" wrapText="0"/>
    </xf>
    <xf borderId="30" fillId="20" fontId="64" numFmtId="46" xfId="0" applyAlignment="1" applyBorder="1" applyFont="1" applyNumberFormat="1">
      <alignment horizontal="right" readingOrder="0" shrinkToFit="0" vertical="bottom" wrapText="0"/>
    </xf>
    <xf borderId="2" fillId="20" fontId="45" numFmtId="0" xfId="0" applyAlignment="1" applyBorder="1" applyFont="1">
      <alignment horizontal="center" readingOrder="0"/>
    </xf>
    <xf borderId="8" fillId="20" fontId="66" numFmtId="0" xfId="0" applyAlignment="1" applyBorder="1" applyFont="1">
      <alignment horizontal="center" vertical="center"/>
    </xf>
    <xf borderId="9" fillId="20" fontId="47" numFmtId="0" xfId="0" applyAlignment="1" applyBorder="1" applyFont="1">
      <alignment horizontal="center" vertical="center"/>
    </xf>
    <xf borderId="2" fillId="20" fontId="28" numFmtId="0" xfId="0" applyAlignment="1" applyBorder="1" applyFont="1">
      <alignment horizontal="center" readingOrder="0" shrinkToFit="0" wrapText="0"/>
    </xf>
    <xf borderId="6" fillId="20" fontId="28" numFmtId="46" xfId="0" applyAlignment="1" applyBorder="1" applyFont="1" applyNumberFormat="1">
      <alignment horizontal="right" readingOrder="0" shrinkToFit="0" vertical="bottom" wrapText="0"/>
    </xf>
    <xf borderId="2" fillId="20" fontId="67" numFmtId="0" xfId="0" applyAlignment="1" applyBorder="1" applyFont="1">
      <alignment horizontal="center" vertical="center"/>
    </xf>
    <xf borderId="6" fillId="20" fontId="67" numFmtId="46" xfId="0" applyBorder="1" applyFont="1" applyNumberFormat="1"/>
    <xf borderId="24" fillId="34" fontId="42" numFmtId="0" xfId="0" applyAlignment="1" applyBorder="1" applyFill="1" applyFont="1">
      <alignment horizontal="center" readingOrder="0" shrinkToFit="0" wrapText="0"/>
    </xf>
    <xf borderId="25" fillId="34" fontId="42" numFmtId="0" xfId="0" applyAlignment="1" applyBorder="1" applyFont="1">
      <alignment horizontal="center" readingOrder="0" shrinkToFit="0" vertical="bottom" wrapText="0"/>
    </xf>
    <xf borderId="1" fillId="34" fontId="42" numFmtId="0" xfId="0" applyAlignment="1" applyBorder="1" applyFont="1">
      <alignment horizontal="center" readingOrder="0" shrinkToFit="0" wrapText="0"/>
    </xf>
    <xf borderId="2" fillId="34" fontId="42" numFmtId="0" xfId="0" applyAlignment="1" applyBorder="1" applyFont="1">
      <alignment horizontal="center" readingOrder="0" shrinkToFit="0" vertical="bottom" wrapText="0"/>
    </xf>
    <xf borderId="1" fillId="34" fontId="43" numFmtId="0" xfId="0" applyAlignment="1" applyBorder="1" applyFont="1">
      <alignment horizontal="center" readingOrder="0" shrinkToFit="0" wrapText="0"/>
    </xf>
    <xf borderId="1" fillId="34" fontId="68" numFmtId="0" xfId="0" applyAlignment="1" applyBorder="1" applyFont="1">
      <alignment horizontal="center" vertical="center"/>
    </xf>
    <xf borderId="2" fillId="34" fontId="69" numFmtId="0" xfId="0" applyAlignment="1" applyBorder="1" applyFont="1">
      <alignment horizontal="center" readingOrder="0"/>
    </xf>
    <xf borderId="2" fillId="34" fontId="68" numFmtId="0" xfId="0" applyAlignment="1" applyBorder="1" applyFont="1">
      <alignment horizontal="center"/>
    </xf>
    <xf borderId="30" fillId="34" fontId="42" numFmtId="0" xfId="0" applyAlignment="1" applyBorder="1" applyFont="1">
      <alignment horizontal="center" readingOrder="0" shrinkToFit="0" wrapText="0"/>
    </xf>
    <xf borderId="6" fillId="34" fontId="42" numFmtId="0" xfId="0" applyAlignment="1" applyBorder="1" applyFont="1">
      <alignment horizontal="center" readingOrder="0" shrinkToFit="0" wrapText="0"/>
    </xf>
    <xf borderId="6" fillId="34" fontId="68" numFmtId="0" xfId="0" applyAlignment="1" applyBorder="1" applyFont="1">
      <alignment horizontal="center" vertical="center"/>
    </xf>
    <xf borderId="0" fillId="34" fontId="48" numFmtId="0" xfId="0" applyAlignment="1" applyFont="1">
      <alignment horizontal="center" readingOrder="0" vertical="center"/>
    </xf>
    <xf borderId="30" fillId="0" fontId="31" numFmtId="166" xfId="0" applyAlignment="1" applyBorder="1" applyFont="1" applyNumberFormat="1">
      <alignment readingOrder="0" shrinkToFit="0" vertical="bottom" wrapText="0"/>
    </xf>
    <xf borderId="0" fillId="0" fontId="19" numFmtId="165" xfId="0" applyAlignment="1" applyFont="1" applyNumberFormat="1">
      <alignment readingOrder="0"/>
    </xf>
    <xf borderId="0" fillId="34" fontId="52" numFmtId="46" xfId="0" applyAlignment="1" applyFont="1" applyNumberFormat="1">
      <alignment horizontal="center" readingOrder="0" shrinkToFit="0" vertical="center" wrapText="0"/>
    </xf>
    <xf borderId="0" fillId="0" fontId="57" numFmtId="4" xfId="0" applyAlignment="1" applyFont="1" applyNumberFormat="1">
      <alignment horizontal="center" vertical="center"/>
    </xf>
    <xf borderId="30" fillId="0" fontId="31" numFmtId="165" xfId="0" applyAlignment="1" applyBorder="1" applyFont="1" applyNumberFormat="1">
      <alignment readingOrder="0" shrinkToFit="0" vertical="bottom" wrapText="0"/>
    </xf>
    <xf borderId="0" fillId="0" fontId="19" numFmtId="20" xfId="0" applyAlignment="1" applyFont="1" applyNumberFormat="1">
      <alignment readingOrder="0"/>
    </xf>
    <xf borderId="30" fillId="0" fontId="36" numFmtId="166" xfId="0" applyAlignment="1" applyBorder="1" applyFont="1" applyNumberFormat="1">
      <alignment shrinkToFit="0" vertical="bottom" wrapText="0"/>
    </xf>
    <xf borderId="6" fillId="0" fontId="70" numFmtId="165" xfId="0" applyAlignment="1" applyBorder="1" applyFont="1" applyNumberFormat="1">
      <alignment readingOrder="0"/>
    </xf>
    <xf borderId="6" fillId="0" fontId="70" numFmtId="165" xfId="0" applyAlignment="1" applyBorder="1" applyFont="1" applyNumberFormat="1">
      <alignment readingOrder="0" vertical="top"/>
    </xf>
    <xf borderId="30" fillId="0" fontId="55" numFmtId="20" xfId="0" applyAlignment="1" applyBorder="1" applyFont="1" applyNumberFormat="1">
      <alignment readingOrder="0" shrinkToFit="0" vertical="bottom" wrapText="0"/>
    </xf>
    <xf borderId="0" fillId="34" fontId="57" numFmtId="4" xfId="0" applyAlignment="1" applyFont="1" applyNumberFormat="1">
      <alignment horizontal="center" vertical="center"/>
    </xf>
    <xf borderId="0" fillId="34" fontId="63" numFmtId="167" xfId="0" applyAlignment="1" applyFont="1" applyNumberFormat="1">
      <alignment horizontal="center" vertical="center"/>
    </xf>
    <xf borderId="2" fillId="34" fontId="45" numFmtId="0" xfId="0" applyAlignment="1" applyBorder="1" applyFont="1">
      <alignment horizontal="center" readingOrder="0"/>
    </xf>
    <xf borderId="8" fillId="34" fontId="66" numFmtId="46" xfId="0" applyAlignment="1" applyBorder="1" applyFont="1" applyNumberFormat="1">
      <alignment horizontal="center" vertical="center"/>
    </xf>
    <xf borderId="9" fillId="34" fontId="47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6" fillId="0" fontId="10" numFmtId="46" xfId="0" applyBorder="1" applyFont="1" applyNumberFormat="1"/>
    <xf borderId="24" fillId="35" fontId="42" numFmtId="0" xfId="0" applyAlignment="1" applyBorder="1" applyFill="1" applyFont="1">
      <alignment horizontal="center" readingOrder="0" shrinkToFit="0" wrapText="0"/>
    </xf>
    <xf borderId="25" fillId="35" fontId="42" numFmtId="0" xfId="0" applyAlignment="1" applyBorder="1" applyFont="1">
      <alignment horizontal="center" readingOrder="0" shrinkToFit="0" vertical="bottom" wrapText="0"/>
    </xf>
    <xf borderId="1" fillId="35" fontId="42" numFmtId="0" xfId="0" applyAlignment="1" applyBorder="1" applyFont="1">
      <alignment horizontal="center" readingOrder="0" shrinkToFit="0" wrapText="0"/>
    </xf>
    <xf borderId="2" fillId="35" fontId="42" numFmtId="0" xfId="0" applyAlignment="1" applyBorder="1" applyFont="1">
      <alignment horizontal="center" readingOrder="0" shrinkToFit="0" vertical="bottom" wrapText="0"/>
    </xf>
    <xf borderId="1" fillId="35" fontId="43" numFmtId="0" xfId="0" applyAlignment="1" applyBorder="1" applyFont="1">
      <alignment horizontal="center" readingOrder="0" shrinkToFit="0" wrapText="0"/>
    </xf>
    <xf borderId="1" fillId="35" fontId="68" numFmtId="0" xfId="0" applyAlignment="1" applyBorder="1" applyFont="1">
      <alignment horizontal="center" vertical="center"/>
    </xf>
    <xf borderId="2" fillId="35" fontId="69" numFmtId="0" xfId="0" applyAlignment="1" applyBorder="1" applyFont="1">
      <alignment horizontal="center" readingOrder="0"/>
    </xf>
    <xf borderId="6" fillId="35" fontId="43" numFmtId="0" xfId="0" applyAlignment="1" applyBorder="1" applyFont="1">
      <alignment readingOrder="0" vertical="bottom"/>
    </xf>
    <xf borderId="6" fillId="35" fontId="43" numFmtId="0" xfId="0" applyAlignment="1" applyBorder="1" applyFont="1">
      <alignment vertical="bottom"/>
    </xf>
    <xf borderId="2" fillId="35" fontId="68" numFmtId="0" xfId="0" applyAlignment="1" applyBorder="1" applyFont="1">
      <alignment horizontal="center"/>
    </xf>
    <xf borderId="30" fillId="35" fontId="42" numFmtId="0" xfId="0" applyAlignment="1" applyBorder="1" applyFont="1">
      <alignment horizontal="center" readingOrder="0" shrinkToFit="0" wrapText="0"/>
    </xf>
    <xf borderId="6" fillId="35" fontId="42" numFmtId="0" xfId="0" applyAlignment="1" applyBorder="1" applyFont="1">
      <alignment horizontal="center" readingOrder="0" shrinkToFit="0" wrapText="0"/>
    </xf>
    <xf borderId="6" fillId="35" fontId="68" numFmtId="0" xfId="0" applyAlignment="1" applyBorder="1" applyFont="1">
      <alignment horizontal="center" vertical="center"/>
    </xf>
    <xf borderId="0" fillId="35" fontId="48" numFmtId="0" xfId="0" applyAlignment="1" applyFont="1">
      <alignment horizontal="center" readingOrder="0" vertical="center"/>
    </xf>
    <xf borderId="0" fillId="35" fontId="52" numFmtId="46" xfId="0" applyAlignment="1" applyFont="1" applyNumberFormat="1">
      <alignment horizontal="center" readingOrder="0" shrinkToFit="0" vertical="center" wrapText="0"/>
    </xf>
    <xf borderId="30" fillId="0" fontId="55" numFmtId="21" xfId="0" applyAlignment="1" applyBorder="1" applyFont="1" applyNumberFormat="1">
      <alignment readingOrder="0"/>
    </xf>
    <xf borderId="6" fillId="0" fontId="36" numFmtId="0" xfId="0" applyAlignment="1" applyBorder="1" applyFont="1">
      <alignment horizontal="right" readingOrder="0" shrinkToFit="0" vertical="bottom" wrapText="0"/>
    </xf>
    <xf borderId="0" fillId="35" fontId="57" numFmtId="4" xfId="0" applyAlignment="1" applyFont="1" applyNumberFormat="1">
      <alignment horizontal="center" vertical="center"/>
    </xf>
    <xf borderId="0" fillId="35" fontId="63" numFmtId="167" xfId="0" applyAlignment="1" applyFont="1" applyNumberFormat="1">
      <alignment horizontal="center" vertical="center"/>
    </xf>
    <xf borderId="2" fillId="35" fontId="45" numFmtId="0" xfId="0" applyAlignment="1" applyBorder="1" applyFont="1">
      <alignment horizontal="center" readingOrder="0"/>
    </xf>
    <xf borderId="8" fillId="35" fontId="66" numFmtId="46" xfId="0" applyAlignment="1" applyBorder="1" applyFont="1" applyNumberFormat="1">
      <alignment horizontal="center" vertical="center"/>
    </xf>
    <xf borderId="9" fillId="35" fontId="47" numFmtId="0" xfId="0" applyAlignment="1" applyBorder="1" applyFont="1">
      <alignment horizontal="center" vertical="center"/>
    </xf>
    <xf borderId="24" fillId="36" fontId="42" numFmtId="0" xfId="0" applyAlignment="1" applyBorder="1" applyFill="1" applyFont="1">
      <alignment horizontal="center" readingOrder="0" shrinkToFit="0" wrapText="0"/>
    </xf>
    <xf borderId="25" fillId="36" fontId="42" numFmtId="0" xfId="0" applyAlignment="1" applyBorder="1" applyFont="1">
      <alignment horizontal="center" readingOrder="0" shrinkToFit="0" vertical="bottom" wrapText="0"/>
    </xf>
    <xf borderId="1" fillId="36" fontId="42" numFmtId="0" xfId="0" applyAlignment="1" applyBorder="1" applyFont="1">
      <alignment horizontal="center" readingOrder="0" shrinkToFit="0" wrapText="0"/>
    </xf>
    <xf borderId="2" fillId="36" fontId="42" numFmtId="0" xfId="0" applyAlignment="1" applyBorder="1" applyFont="1">
      <alignment horizontal="center" readingOrder="0" shrinkToFit="0" vertical="bottom" wrapText="0"/>
    </xf>
    <xf borderId="1" fillId="36" fontId="43" numFmtId="0" xfId="0" applyAlignment="1" applyBorder="1" applyFont="1">
      <alignment horizontal="center" readingOrder="0" shrinkToFit="0" wrapText="0"/>
    </xf>
    <xf borderId="1" fillId="36" fontId="68" numFmtId="0" xfId="0" applyAlignment="1" applyBorder="1" applyFont="1">
      <alignment horizontal="center" vertical="center"/>
    </xf>
    <xf borderId="2" fillId="36" fontId="69" numFmtId="0" xfId="0" applyAlignment="1" applyBorder="1" applyFont="1">
      <alignment horizontal="center" readingOrder="0"/>
    </xf>
    <xf borderId="0" fillId="0" fontId="1" numFmtId="46" xfId="0" applyAlignment="1" applyFont="1" applyNumberFormat="1">
      <alignment readingOrder="0"/>
    </xf>
    <xf borderId="2" fillId="36" fontId="68" numFmtId="0" xfId="0" applyAlignment="1" applyBorder="1" applyFont="1">
      <alignment horizontal="center"/>
    </xf>
    <xf borderId="30" fillId="36" fontId="42" numFmtId="0" xfId="0" applyAlignment="1" applyBorder="1" applyFont="1">
      <alignment horizontal="center" readingOrder="0" shrinkToFit="0" wrapText="0"/>
    </xf>
    <xf borderId="6" fillId="36" fontId="42" numFmtId="0" xfId="0" applyAlignment="1" applyBorder="1" applyFont="1">
      <alignment horizontal="center" readingOrder="0" shrinkToFit="0" wrapText="0"/>
    </xf>
    <xf borderId="6" fillId="36" fontId="68" numFmtId="0" xfId="0" applyAlignment="1" applyBorder="1" applyFont="1">
      <alignment horizontal="center" vertical="center"/>
    </xf>
    <xf borderId="0" fillId="36" fontId="48" numFmtId="0" xfId="0" applyAlignment="1" applyFont="1">
      <alignment horizontal="center" readingOrder="0" vertical="center"/>
    </xf>
    <xf borderId="0" fillId="36" fontId="52" numFmtId="46" xfId="0" applyAlignment="1" applyFont="1" applyNumberFormat="1">
      <alignment horizontal="center" readingOrder="0" shrinkToFit="0" vertical="center" wrapText="0"/>
    </xf>
    <xf borderId="6" fillId="0" fontId="8" numFmtId="169" xfId="0" applyAlignment="1" applyBorder="1" applyFont="1" applyNumberFormat="1">
      <alignment horizontal="right" readingOrder="0" vertical="bottom"/>
    </xf>
    <xf borderId="25" fillId="36" fontId="43" numFmtId="0" xfId="0" applyAlignment="1" applyBorder="1" applyFont="1">
      <alignment horizontal="center" readingOrder="0" shrinkToFit="0" vertical="bottom" wrapText="0"/>
    </xf>
    <xf borderId="0" fillId="36" fontId="57" numFmtId="4" xfId="0" applyAlignment="1" applyFont="1" applyNumberFormat="1">
      <alignment horizontal="center" vertical="center"/>
    </xf>
    <xf borderId="0" fillId="36" fontId="63" numFmtId="167" xfId="0" applyAlignment="1" applyFont="1" applyNumberFormat="1">
      <alignment horizontal="center" vertical="center"/>
    </xf>
    <xf borderId="2" fillId="36" fontId="45" numFmtId="0" xfId="0" applyAlignment="1" applyBorder="1" applyFont="1">
      <alignment horizontal="center" readingOrder="0"/>
    </xf>
    <xf borderId="8" fillId="36" fontId="66" numFmtId="46" xfId="0" applyAlignment="1" applyBorder="1" applyFont="1" applyNumberFormat="1">
      <alignment horizontal="center" vertical="center"/>
    </xf>
    <xf borderId="9" fillId="36" fontId="4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9.75"/>
    <col customWidth="1" min="8" max="8" width="11.38"/>
    <col customWidth="1" min="9" max="13" width="8.63"/>
    <col customWidth="1" min="14" max="14" width="14.0"/>
    <col customWidth="1" min="15" max="15" width="11.75"/>
    <col customWidth="1" min="16" max="20" width="8.63"/>
    <col customWidth="1" min="21" max="21" width="15.25"/>
    <col customWidth="1" min="22" max="22" width="12.13"/>
    <col customWidth="1" min="23" max="23" width="12.0"/>
    <col customWidth="1" min="24" max="24" width="9.25"/>
    <col customWidth="1" min="25" max="25" width="9.13"/>
    <col customWidth="1" min="26" max="27" width="8.63"/>
    <col customWidth="1" min="28" max="28" width="14.75"/>
    <col customWidth="1" min="29" max="30" width="11.75"/>
    <col customWidth="1" min="31" max="31" width="12.25"/>
    <col customWidth="1" min="32" max="32" width="34.63"/>
    <col customWidth="1" min="33" max="33" width="16.25"/>
    <col customWidth="1" min="34" max="38" width="11.75"/>
  </cols>
  <sheetData>
    <row r="1" ht="14.25" customHeight="1">
      <c r="A1" s="1">
        <f>SUM(G6+N26+U34+AB34)</f>
        <v>15.82291667</v>
      </c>
      <c r="B1" s="2" t="s">
        <v>0</v>
      </c>
      <c r="C1" s="3" t="s">
        <v>1</v>
      </c>
      <c r="D1" s="4"/>
      <c r="E1" s="4"/>
      <c r="F1" s="5"/>
      <c r="G1" s="2" t="s">
        <v>2</v>
      </c>
      <c r="I1" s="2" t="s">
        <v>0</v>
      </c>
      <c r="J1" s="3" t="s">
        <v>3</v>
      </c>
      <c r="K1" s="4"/>
      <c r="L1" s="4"/>
      <c r="M1" s="5"/>
      <c r="N1" s="2" t="s">
        <v>2</v>
      </c>
      <c r="P1" s="2" t="s">
        <v>0</v>
      </c>
      <c r="Q1" s="3" t="s">
        <v>4</v>
      </c>
      <c r="R1" s="4"/>
      <c r="S1" s="4"/>
      <c r="T1" s="5"/>
      <c r="U1" s="2" t="s">
        <v>2</v>
      </c>
      <c r="W1" s="2" t="s">
        <v>0</v>
      </c>
      <c r="X1" s="6" t="s">
        <v>5</v>
      </c>
      <c r="Y1" s="4"/>
      <c r="Z1" s="4"/>
      <c r="AA1" s="5"/>
      <c r="AB1" s="2" t="s">
        <v>2</v>
      </c>
      <c r="AC1" s="7"/>
      <c r="AD1" s="7"/>
      <c r="AE1" s="7"/>
      <c r="AF1" s="7"/>
      <c r="AG1" s="8"/>
      <c r="AH1" s="9"/>
      <c r="AI1" s="7"/>
      <c r="AJ1" s="7"/>
      <c r="AK1" s="7"/>
      <c r="AL1" s="7"/>
    </row>
    <row r="2" ht="14.25" customHeight="1">
      <c r="B2" s="10"/>
      <c r="C2" s="3" t="s">
        <v>6</v>
      </c>
      <c r="D2" s="5"/>
      <c r="E2" s="3" t="s">
        <v>7</v>
      </c>
      <c r="F2" s="5"/>
      <c r="G2" s="10"/>
      <c r="I2" s="10"/>
      <c r="J2" s="3" t="s">
        <v>6</v>
      </c>
      <c r="K2" s="5"/>
      <c r="L2" s="3" t="s">
        <v>7</v>
      </c>
      <c r="M2" s="5"/>
      <c r="N2" s="10"/>
      <c r="P2" s="10"/>
      <c r="Q2" s="3" t="s">
        <v>6</v>
      </c>
      <c r="R2" s="5"/>
      <c r="S2" s="3" t="s">
        <v>7</v>
      </c>
      <c r="T2" s="5"/>
      <c r="U2" s="10"/>
      <c r="W2" s="10"/>
      <c r="X2" s="3" t="s">
        <v>6</v>
      </c>
      <c r="Y2" s="5"/>
      <c r="Z2" s="3" t="s">
        <v>7</v>
      </c>
      <c r="AA2" s="5"/>
      <c r="AB2" s="10"/>
      <c r="AC2" s="7"/>
      <c r="AD2" s="11" t="s">
        <v>8</v>
      </c>
      <c r="AE2" s="12" t="s">
        <v>9</v>
      </c>
      <c r="AF2" s="12" t="s">
        <v>10</v>
      </c>
      <c r="AG2" s="8"/>
      <c r="AH2" s="9"/>
      <c r="AI2" s="8"/>
      <c r="AJ2" s="9"/>
      <c r="AK2" s="7"/>
      <c r="AL2" s="7"/>
    </row>
    <row r="3" ht="14.25" customHeight="1">
      <c r="B3" s="13"/>
      <c r="C3" s="14" t="s">
        <v>11</v>
      </c>
      <c r="D3" s="14" t="s">
        <v>12</v>
      </c>
      <c r="E3" s="14" t="s">
        <v>11</v>
      </c>
      <c r="F3" s="14" t="s">
        <v>12</v>
      </c>
      <c r="G3" s="13"/>
      <c r="I3" s="13"/>
      <c r="J3" s="14" t="s">
        <v>11</v>
      </c>
      <c r="K3" s="14" t="s">
        <v>12</v>
      </c>
      <c r="L3" s="14" t="s">
        <v>11</v>
      </c>
      <c r="M3" s="14" t="s">
        <v>12</v>
      </c>
      <c r="N3" s="13"/>
      <c r="P3" s="13"/>
      <c r="Q3" s="14" t="s">
        <v>11</v>
      </c>
      <c r="R3" s="14" t="s">
        <v>12</v>
      </c>
      <c r="S3" s="14" t="s">
        <v>11</v>
      </c>
      <c r="T3" s="14" t="s">
        <v>12</v>
      </c>
      <c r="U3" s="13"/>
      <c r="W3" s="13"/>
      <c r="X3" s="14" t="s">
        <v>11</v>
      </c>
      <c r="Y3" s="14" t="s">
        <v>12</v>
      </c>
      <c r="Z3" s="14" t="s">
        <v>11</v>
      </c>
      <c r="AA3" s="14" t="s">
        <v>12</v>
      </c>
      <c r="AB3" s="13"/>
      <c r="AC3" s="7"/>
      <c r="AD3" s="15" t="s">
        <v>13</v>
      </c>
      <c r="AE3" s="16" t="s">
        <v>14</v>
      </c>
      <c r="AF3" s="17">
        <f>SUM(G4:G5)</f>
        <v>0.675</v>
      </c>
      <c r="AG3" s="8"/>
      <c r="AH3" s="9"/>
      <c r="AI3" s="8"/>
      <c r="AJ3" s="9"/>
      <c r="AK3" s="7"/>
      <c r="AL3" s="7"/>
    </row>
    <row r="4" ht="14.25" customHeight="1">
      <c r="B4" s="18">
        <v>29.0</v>
      </c>
      <c r="C4" s="19">
        <v>0.3333333333333333</v>
      </c>
      <c r="D4" s="19">
        <v>0.5</v>
      </c>
      <c r="E4" s="19">
        <v>0.5416666666666666</v>
      </c>
      <c r="F4" s="19">
        <v>0.7083333333333334</v>
      </c>
      <c r="G4" s="20">
        <f t="shared" ref="G4:G5" si="1">SUM(D4-C4)+(F4-E4)</f>
        <v>0.3333333333</v>
      </c>
      <c r="I4" s="18">
        <v>2.0</v>
      </c>
      <c r="J4" s="19">
        <v>0.31805555555555554</v>
      </c>
      <c r="K4" s="19">
        <v>0.5</v>
      </c>
      <c r="L4" s="19">
        <v>0.5416666666666666</v>
      </c>
      <c r="M4" s="19">
        <v>0.7083333333333334</v>
      </c>
      <c r="N4" s="20">
        <f t="shared" ref="N4:N23" si="2">SUM(K4-J4)+(M4-L4)</f>
        <v>0.3486111111</v>
      </c>
      <c r="P4" s="18">
        <v>2.0</v>
      </c>
      <c r="Q4" s="19">
        <v>0.3298611111111111</v>
      </c>
      <c r="R4" s="19">
        <v>0.5</v>
      </c>
      <c r="S4" s="19">
        <v>0.5416666666666666</v>
      </c>
      <c r="T4" s="19">
        <v>0.7083333333333334</v>
      </c>
      <c r="U4" s="21">
        <f t="shared" ref="U4:U8" si="3">SUM(R4-Q4)+(T4-S4)</f>
        <v>0.3368055556</v>
      </c>
      <c r="W4" s="22">
        <v>1.0</v>
      </c>
      <c r="X4" s="19"/>
      <c r="Y4" s="19"/>
      <c r="Z4" s="19"/>
      <c r="AA4" s="19"/>
      <c r="AB4" s="21">
        <f t="shared" ref="AB4:AB33" si="4">SUM(Y4-X4)+(AA4-Z4)</f>
        <v>0</v>
      </c>
      <c r="AC4" s="23"/>
      <c r="AD4" s="15" t="s">
        <v>15</v>
      </c>
      <c r="AE4" s="24">
        <v>46037.0</v>
      </c>
      <c r="AF4" s="17">
        <f>SUM(N4:N13)</f>
        <v>3.406944444</v>
      </c>
      <c r="AG4" s="8"/>
      <c r="AH4" s="9"/>
      <c r="AI4" s="8"/>
      <c r="AJ4" s="9"/>
      <c r="AK4" s="23"/>
      <c r="AL4" s="23"/>
    </row>
    <row r="5" ht="14.25" customHeight="1">
      <c r="B5" s="18">
        <v>30.0</v>
      </c>
      <c r="C5" s="19">
        <v>0.325</v>
      </c>
      <c r="D5" s="19">
        <v>0.5</v>
      </c>
      <c r="E5" s="19">
        <v>0.5416666666666666</v>
      </c>
      <c r="F5" s="19">
        <v>0.7083333333333334</v>
      </c>
      <c r="G5" s="20">
        <f t="shared" si="1"/>
        <v>0.3416666667</v>
      </c>
      <c r="I5" s="18">
        <v>3.0</v>
      </c>
      <c r="J5" s="19">
        <v>0.3263888888888889</v>
      </c>
      <c r="K5" s="19">
        <v>0.5</v>
      </c>
      <c r="L5" s="19">
        <v>0.5416666666666666</v>
      </c>
      <c r="M5" s="19">
        <v>0.7083333333333334</v>
      </c>
      <c r="N5" s="20">
        <f t="shared" si="2"/>
        <v>0.3402777778</v>
      </c>
      <c r="P5" s="18">
        <v>3.0</v>
      </c>
      <c r="Q5" s="19">
        <v>0.31875</v>
      </c>
      <c r="R5" s="19">
        <v>0.5</v>
      </c>
      <c r="S5" s="19">
        <v>0.5416666666666666</v>
      </c>
      <c r="T5" s="19">
        <v>0.7083333333333334</v>
      </c>
      <c r="U5" s="21">
        <f t="shared" si="3"/>
        <v>0.3479166667</v>
      </c>
      <c r="W5" s="22">
        <v>2.0</v>
      </c>
      <c r="X5" s="19"/>
      <c r="Y5" s="19"/>
      <c r="Z5" s="19"/>
      <c r="AA5" s="19"/>
      <c r="AB5" s="21">
        <f t="shared" si="4"/>
        <v>0</v>
      </c>
      <c r="AC5" s="23"/>
      <c r="AD5" s="15" t="s">
        <v>15</v>
      </c>
      <c r="AE5" s="25" t="s">
        <v>16</v>
      </c>
      <c r="AF5" s="17">
        <f>SUM(N14:N23)</f>
        <v>3.377083333</v>
      </c>
      <c r="AG5" s="23"/>
      <c r="AH5" s="23"/>
      <c r="AI5" s="8"/>
      <c r="AJ5" s="9"/>
      <c r="AK5" s="23"/>
      <c r="AL5" s="23"/>
    </row>
    <row r="6" ht="14.25" customHeight="1">
      <c r="B6" s="26" t="s">
        <v>17</v>
      </c>
      <c r="C6" s="4"/>
      <c r="D6" s="4"/>
      <c r="E6" s="4"/>
      <c r="F6" s="5"/>
      <c r="G6" s="27">
        <f>SUM(G4:G5)</f>
        <v>0.675</v>
      </c>
      <c r="I6" s="18">
        <v>4.0</v>
      </c>
      <c r="J6" s="19">
        <v>0.3263888888888889</v>
      </c>
      <c r="K6" s="19">
        <v>0.5</v>
      </c>
      <c r="L6" s="19">
        <v>0.5416666666666666</v>
      </c>
      <c r="M6" s="19">
        <v>0.7083333333333334</v>
      </c>
      <c r="N6" s="20">
        <f t="shared" si="2"/>
        <v>0.3402777778</v>
      </c>
      <c r="P6" s="18">
        <v>4.0</v>
      </c>
      <c r="Q6" s="19">
        <v>0.3215277777777778</v>
      </c>
      <c r="R6" s="19">
        <v>0.5</v>
      </c>
      <c r="S6" s="19">
        <v>0.5416666666666666</v>
      </c>
      <c r="T6" s="19">
        <v>0.7083333333333334</v>
      </c>
      <c r="U6" s="21">
        <f t="shared" si="3"/>
        <v>0.3451388889</v>
      </c>
      <c r="W6" s="22">
        <v>3.0</v>
      </c>
      <c r="X6" s="19"/>
      <c r="Y6" s="19"/>
      <c r="Z6" s="19"/>
      <c r="AA6" s="19"/>
      <c r="AB6" s="21">
        <f t="shared" si="4"/>
        <v>0</v>
      </c>
      <c r="AC6" s="23"/>
      <c r="AD6" s="15" t="s">
        <v>18</v>
      </c>
      <c r="AE6" s="24">
        <v>46037.0</v>
      </c>
      <c r="AF6" s="17">
        <f>SUM(U4:U17)</f>
        <v>3.669444444</v>
      </c>
      <c r="AG6" s="23"/>
      <c r="AH6" s="23"/>
      <c r="AI6" s="23"/>
      <c r="AJ6" s="23"/>
      <c r="AK6" s="23"/>
      <c r="AL6" s="23"/>
    </row>
    <row r="7" ht="14.25" customHeight="1">
      <c r="A7" s="28"/>
      <c r="I7" s="18">
        <v>5.0</v>
      </c>
      <c r="J7" s="19">
        <v>0.3263888888888889</v>
      </c>
      <c r="K7" s="19">
        <v>0.5</v>
      </c>
      <c r="L7" s="19">
        <v>0.5416666666666666</v>
      </c>
      <c r="M7" s="19">
        <v>0.7083333333333334</v>
      </c>
      <c r="N7" s="20">
        <f t="shared" si="2"/>
        <v>0.3402777778</v>
      </c>
      <c r="P7" s="18">
        <v>5.0</v>
      </c>
      <c r="Q7" s="19">
        <v>0.3215277777777778</v>
      </c>
      <c r="R7" s="19">
        <v>0.5</v>
      </c>
      <c r="S7" s="19">
        <v>0.5416666666666666</v>
      </c>
      <c r="T7" s="19">
        <v>0.7083333333333334</v>
      </c>
      <c r="U7" s="21">
        <f t="shared" si="3"/>
        <v>0.3451388889</v>
      </c>
      <c r="W7" s="22">
        <v>4.0</v>
      </c>
      <c r="X7" s="19"/>
      <c r="Y7" s="19"/>
      <c r="Z7" s="19"/>
      <c r="AA7" s="19"/>
      <c r="AB7" s="21">
        <f t="shared" si="4"/>
        <v>0</v>
      </c>
      <c r="AC7" s="23"/>
      <c r="AD7" s="15" t="s">
        <v>18</v>
      </c>
      <c r="AE7" s="25" t="s">
        <v>19</v>
      </c>
      <c r="AF7" s="17">
        <f>SUM(U18:U32)</f>
        <v>3.105555556</v>
      </c>
      <c r="AG7" s="23"/>
      <c r="AH7" s="23"/>
      <c r="AI7" s="23"/>
      <c r="AJ7" s="23"/>
      <c r="AK7" s="23"/>
      <c r="AL7" s="23"/>
    </row>
    <row r="8" ht="15.0" customHeight="1">
      <c r="B8" s="29" t="s">
        <v>20</v>
      </c>
      <c r="C8" s="30"/>
      <c r="D8" s="30"/>
      <c r="E8" s="30"/>
      <c r="F8" s="30"/>
      <c r="G8" s="31"/>
      <c r="I8" s="18">
        <v>6.0</v>
      </c>
      <c r="J8" s="19">
        <v>0.3263888888888889</v>
      </c>
      <c r="K8" s="19">
        <v>0.5</v>
      </c>
      <c r="L8" s="19">
        <v>0.5416666666666666</v>
      </c>
      <c r="M8" s="19">
        <v>0.7083333333333334</v>
      </c>
      <c r="N8" s="20">
        <f t="shared" si="2"/>
        <v>0.3402777778</v>
      </c>
      <c r="P8" s="18">
        <v>6.0</v>
      </c>
      <c r="Q8" s="32">
        <v>0.32569444444444445</v>
      </c>
      <c r="R8" s="32">
        <v>0.5</v>
      </c>
      <c r="S8" s="32">
        <v>0.041666666666666664</v>
      </c>
      <c r="T8" s="32">
        <v>0.20833333333333334</v>
      </c>
      <c r="U8" s="21">
        <f t="shared" si="3"/>
        <v>0.3409722222</v>
      </c>
      <c r="W8" s="22">
        <v>5.0</v>
      </c>
      <c r="X8" s="32"/>
      <c r="Y8" s="32"/>
      <c r="Z8" s="32"/>
      <c r="AA8" s="32"/>
      <c r="AB8" s="21">
        <f t="shared" si="4"/>
        <v>0</v>
      </c>
      <c r="AC8" s="23"/>
      <c r="AD8" s="15" t="s">
        <v>5</v>
      </c>
      <c r="AE8" s="24">
        <v>46037.0</v>
      </c>
      <c r="AF8" s="17">
        <f>SUM(AB4:AB18)</f>
        <v>1.588888889</v>
      </c>
      <c r="AG8" s="23"/>
      <c r="AH8" s="23"/>
      <c r="AI8" s="23"/>
      <c r="AJ8" s="23"/>
      <c r="AK8" s="23"/>
      <c r="AL8" s="23"/>
    </row>
    <row r="9" ht="14.25" customHeight="1">
      <c r="B9" s="33"/>
      <c r="C9" s="34"/>
      <c r="D9" s="34"/>
      <c r="E9" s="34"/>
      <c r="F9" s="34"/>
      <c r="G9" s="35"/>
      <c r="I9" s="18">
        <v>10.0</v>
      </c>
      <c r="J9" s="19">
        <v>0.32708333333333334</v>
      </c>
      <c r="K9" s="19">
        <v>0.5</v>
      </c>
      <c r="L9" s="19">
        <v>0.5416666666666666</v>
      </c>
      <c r="M9" s="19">
        <v>0.7083333333333334</v>
      </c>
      <c r="N9" s="20">
        <f t="shared" si="2"/>
        <v>0.3395833333</v>
      </c>
      <c r="P9" s="18">
        <v>7.0</v>
      </c>
      <c r="Q9" s="19"/>
      <c r="R9" s="19"/>
      <c r="S9" s="19"/>
      <c r="T9" s="19"/>
      <c r="U9" s="21"/>
      <c r="W9" s="22">
        <v>6.0</v>
      </c>
      <c r="X9" s="32">
        <v>0.2881944444444444</v>
      </c>
      <c r="Y9" s="32">
        <v>0.5</v>
      </c>
      <c r="Z9" s="32">
        <v>0.5416666666666666</v>
      </c>
      <c r="AA9" s="32">
        <v>0.75</v>
      </c>
      <c r="AB9" s="21">
        <f t="shared" si="4"/>
        <v>0.4201388889</v>
      </c>
      <c r="AC9" s="23"/>
      <c r="AD9" s="36" t="s">
        <v>5</v>
      </c>
      <c r="AE9" s="37" t="s">
        <v>21</v>
      </c>
      <c r="AF9" s="17">
        <f>SUM(G10:G11)</f>
        <v>0</v>
      </c>
      <c r="AG9" s="23"/>
      <c r="AH9" s="23"/>
      <c r="AI9" s="23"/>
      <c r="AJ9" s="23"/>
      <c r="AK9" s="23"/>
      <c r="AL9" s="23"/>
    </row>
    <row r="10" ht="14.25" customHeight="1">
      <c r="A10" s="28"/>
      <c r="B10" s="38" t="str">
        <f>TEXT(SUM(G6,N26,U34,AB34),"[h] ""hrs"" mm ""mins""")</f>
        <v>379 hrs 45 mins</v>
      </c>
      <c r="C10" s="30"/>
      <c r="D10" s="30"/>
      <c r="E10" s="30"/>
      <c r="F10" s="30"/>
      <c r="G10" s="31"/>
      <c r="I10" s="18">
        <v>11.0</v>
      </c>
      <c r="J10" s="19">
        <v>0.3263888888888889</v>
      </c>
      <c r="K10" s="19">
        <v>0.5</v>
      </c>
      <c r="L10" s="19">
        <v>0.5416666666666666</v>
      </c>
      <c r="M10" s="19">
        <v>0.7083333333333334</v>
      </c>
      <c r="N10" s="20">
        <f t="shared" si="2"/>
        <v>0.3402777778</v>
      </c>
      <c r="P10" s="18">
        <v>8.0</v>
      </c>
      <c r="Q10" s="19"/>
      <c r="R10" s="19"/>
      <c r="S10" s="19"/>
      <c r="T10" s="19"/>
      <c r="U10" s="21"/>
      <c r="W10" s="22">
        <v>7.0</v>
      </c>
      <c r="X10" s="32">
        <v>0.28958333333333336</v>
      </c>
      <c r="Y10" s="32">
        <v>0.5</v>
      </c>
      <c r="Z10" s="32">
        <v>0.5416666666666666</v>
      </c>
      <c r="AA10" s="32">
        <v>0.75</v>
      </c>
      <c r="AB10" s="21">
        <f t="shared" si="4"/>
        <v>0.41875</v>
      </c>
      <c r="AC10" s="23"/>
      <c r="AD10" s="39" t="s">
        <v>10</v>
      </c>
      <c r="AE10" s="4"/>
      <c r="AF10" s="40">
        <f>SUM(AF3:AI9)</f>
        <v>15.82291667</v>
      </c>
      <c r="AG10" s="23"/>
      <c r="AH10" s="23"/>
      <c r="AI10" s="23"/>
      <c r="AJ10" s="23"/>
      <c r="AK10" s="23"/>
      <c r="AL10" s="23"/>
    </row>
    <row r="11" ht="14.25" customHeight="1">
      <c r="B11" s="41"/>
      <c r="G11" s="42"/>
      <c r="I11" s="18">
        <v>12.0</v>
      </c>
      <c r="J11" s="19">
        <v>0.3298611111111111</v>
      </c>
      <c r="K11" s="19">
        <v>0.5</v>
      </c>
      <c r="L11" s="19">
        <v>0.5416666666666666</v>
      </c>
      <c r="M11" s="19">
        <v>0.7083333333333334</v>
      </c>
      <c r="N11" s="20">
        <f t="shared" si="2"/>
        <v>0.3368055556</v>
      </c>
      <c r="P11" s="18">
        <v>9.0</v>
      </c>
      <c r="Q11" s="32">
        <v>0.3298611111111111</v>
      </c>
      <c r="R11" s="32">
        <v>0.5</v>
      </c>
      <c r="S11" s="19"/>
      <c r="T11" s="19"/>
      <c r="U11" s="21">
        <f t="shared" ref="U11:U15" si="5">SUM(R11-Q11)+(T11-S11)</f>
        <v>0.1701388889</v>
      </c>
      <c r="W11" s="22">
        <v>8.0</v>
      </c>
      <c r="X11" s="32">
        <v>0.2916666666666667</v>
      </c>
      <c r="Y11" s="32">
        <v>0.5</v>
      </c>
      <c r="Z11" s="32">
        <v>0.5416666666666666</v>
      </c>
      <c r="AA11" s="32">
        <v>0.75</v>
      </c>
      <c r="AB11" s="21">
        <f t="shared" si="4"/>
        <v>0.4166666667</v>
      </c>
      <c r="AC11" s="23"/>
      <c r="AD11" s="23"/>
      <c r="AE11" s="23"/>
      <c r="AG11" s="8"/>
      <c r="AH11" s="9"/>
      <c r="AI11" s="23"/>
      <c r="AJ11" s="23"/>
      <c r="AK11" s="23"/>
      <c r="AL11" s="23"/>
    </row>
    <row r="12" ht="14.25" customHeight="1">
      <c r="B12" s="41"/>
      <c r="G12" s="42"/>
      <c r="I12" s="18">
        <v>13.0</v>
      </c>
      <c r="J12" s="19">
        <v>0.3263888888888889</v>
      </c>
      <c r="K12" s="19">
        <v>0.5</v>
      </c>
      <c r="L12" s="19">
        <v>0.5416666666666666</v>
      </c>
      <c r="M12" s="19">
        <v>0.7083333333333334</v>
      </c>
      <c r="N12" s="20">
        <f t="shared" si="2"/>
        <v>0.3402777778</v>
      </c>
      <c r="P12" s="18">
        <v>10.0</v>
      </c>
      <c r="Q12" s="32">
        <v>0.325</v>
      </c>
      <c r="R12" s="32">
        <v>0.5</v>
      </c>
      <c r="S12" s="32">
        <v>0.5416666666666666</v>
      </c>
      <c r="T12" s="32">
        <v>0.7083333333333334</v>
      </c>
      <c r="U12" s="21">
        <f t="shared" si="5"/>
        <v>0.3416666667</v>
      </c>
      <c r="W12" s="22">
        <v>9.0</v>
      </c>
      <c r="X12" s="32">
        <v>0.3333333333333333</v>
      </c>
      <c r="Y12" s="32">
        <v>0.5</v>
      </c>
      <c r="Z12" s="32">
        <v>0.5416666666666666</v>
      </c>
      <c r="AA12" s="32">
        <v>0.7083333333333334</v>
      </c>
      <c r="AB12" s="21">
        <f t="shared" si="4"/>
        <v>0.3333333333</v>
      </c>
      <c r="AC12" s="23"/>
      <c r="AD12" s="23"/>
      <c r="AE12" s="23"/>
      <c r="AG12" s="8"/>
      <c r="AH12" s="9"/>
      <c r="AI12" s="43"/>
      <c r="AJ12" s="23"/>
      <c r="AK12" s="23"/>
      <c r="AL12" s="23"/>
    </row>
    <row r="13" ht="14.25" customHeight="1">
      <c r="B13" s="33"/>
      <c r="C13" s="34"/>
      <c r="D13" s="34"/>
      <c r="E13" s="34"/>
      <c r="F13" s="34"/>
      <c r="G13" s="35"/>
      <c r="I13" s="18">
        <v>14.0</v>
      </c>
      <c r="J13" s="19">
        <v>0.3263888888888889</v>
      </c>
      <c r="K13" s="19">
        <v>0.5</v>
      </c>
      <c r="L13" s="19">
        <v>0.5416666666666666</v>
      </c>
      <c r="M13" s="19">
        <v>0.7083333333333334</v>
      </c>
      <c r="N13" s="20">
        <f t="shared" si="2"/>
        <v>0.3402777778</v>
      </c>
      <c r="P13" s="18">
        <v>11.0</v>
      </c>
      <c r="Q13" s="32">
        <v>0.2951388888888889</v>
      </c>
      <c r="R13" s="44">
        <v>0.5</v>
      </c>
      <c r="S13" s="32">
        <v>0.5416666666666666</v>
      </c>
      <c r="T13" s="32">
        <v>0.7083333333333334</v>
      </c>
      <c r="U13" s="21">
        <f t="shared" si="5"/>
        <v>0.3715277778</v>
      </c>
      <c r="W13" s="18">
        <v>10.0</v>
      </c>
      <c r="X13" s="32"/>
      <c r="Y13" s="32"/>
      <c r="Z13" s="32"/>
      <c r="AA13" s="32"/>
      <c r="AB13" s="21">
        <f t="shared" si="4"/>
        <v>0</v>
      </c>
      <c r="AC13" s="23"/>
      <c r="AD13" s="23"/>
      <c r="AE13" s="23"/>
      <c r="AG13" s="8"/>
      <c r="AH13" s="9"/>
      <c r="AI13" s="43"/>
      <c r="AJ13" s="23"/>
      <c r="AK13" s="23"/>
      <c r="AL13" s="23"/>
    </row>
    <row r="14" ht="14.25" customHeight="1">
      <c r="I14" s="18">
        <v>16.0</v>
      </c>
      <c r="J14" s="19">
        <v>0.32083333333333336</v>
      </c>
      <c r="K14" s="19">
        <v>0.5</v>
      </c>
      <c r="L14" s="19">
        <v>0.5416666666666666</v>
      </c>
      <c r="M14" s="19">
        <v>0.7083333333333334</v>
      </c>
      <c r="N14" s="20">
        <f t="shared" si="2"/>
        <v>0.3458333333</v>
      </c>
      <c r="P14" s="18">
        <v>12.0</v>
      </c>
      <c r="Q14" s="32">
        <v>0.3173611111111111</v>
      </c>
      <c r="R14" s="32">
        <v>0.5</v>
      </c>
      <c r="S14" s="32">
        <v>0.5416666666666666</v>
      </c>
      <c r="T14" s="32">
        <v>0.7083333333333334</v>
      </c>
      <c r="U14" s="21">
        <f t="shared" si="5"/>
        <v>0.3493055556</v>
      </c>
      <c r="W14" s="18">
        <v>11.0</v>
      </c>
      <c r="X14" s="32"/>
      <c r="Y14" s="32"/>
      <c r="Z14" s="32"/>
      <c r="AA14" s="32"/>
      <c r="AB14" s="21">
        <f t="shared" si="4"/>
        <v>0</v>
      </c>
      <c r="AC14" s="45"/>
      <c r="AD14" s="23"/>
      <c r="AE14" s="23"/>
      <c r="AG14" s="8"/>
      <c r="AH14" s="9"/>
      <c r="AI14" s="43"/>
      <c r="AJ14" s="23"/>
      <c r="AK14" s="23"/>
      <c r="AL14" s="23"/>
    </row>
    <row r="15" ht="14.25" customHeight="1">
      <c r="B15" s="46" t="s">
        <v>22</v>
      </c>
      <c r="C15" s="4"/>
      <c r="D15" s="4"/>
      <c r="E15" s="5"/>
      <c r="F15" s="46" t="s">
        <v>23</v>
      </c>
      <c r="G15" s="5"/>
      <c r="I15" s="18">
        <v>17.0</v>
      </c>
      <c r="J15" s="19">
        <v>0.3194444444444444</v>
      </c>
      <c r="K15" s="19">
        <v>0.5</v>
      </c>
      <c r="L15" s="19">
        <v>0.5416666666666666</v>
      </c>
      <c r="M15" s="19">
        <v>0.7083333333333334</v>
      </c>
      <c r="N15" s="20">
        <f t="shared" si="2"/>
        <v>0.3472222222</v>
      </c>
      <c r="P15" s="18">
        <v>13.0</v>
      </c>
      <c r="Q15" s="32">
        <v>0.32083333333333336</v>
      </c>
      <c r="R15" s="32">
        <v>0.5</v>
      </c>
      <c r="S15" s="32">
        <v>0.5416666666666666</v>
      </c>
      <c r="T15" s="32">
        <v>0.7083333333333334</v>
      </c>
      <c r="U15" s="21">
        <f t="shared" si="5"/>
        <v>0.3458333333</v>
      </c>
      <c r="W15" s="18">
        <v>12.0</v>
      </c>
      <c r="X15" s="32"/>
      <c r="Y15" s="32"/>
      <c r="Z15" s="32"/>
      <c r="AA15" s="32"/>
      <c r="AB15" s="21">
        <f t="shared" si="4"/>
        <v>0</v>
      </c>
      <c r="AC15" s="45"/>
      <c r="AD15" s="23"/>
      <c r="AE15" s="23"/>
      <c r="AG15" s="8"/>
      <c r="AH15" s="9"/>
      <c r="AI15" s="43"/>
      <c r="AJ15" s="23"/>
      <c r="AK15" s="23"/>
      <c r="AL15" s="23"/>
    </row>
    <row r="16" ht="14.25" customHeight="1">
      <c r="B16" s="47" t="str">
        <f>TEXT(B59-A1,"[h] ""hrs"" mm ""mins""")</f>
        <v>106 hrs 15 mins</v>
      </c>
      <c r="E16" s="42"/>
      <c r="F16" s="48" t="str">
        <f>TEXT(A1/B59, "0.00%")</f>
        <v>78.14%</v>
      </c>
      <c r="G16" s="31"/>
      <c r="I16" s="18">
        <v>18.0</v>
      </c>
      <c r="J16" s="19">
        <v>0.3277777777777778</v>
      </c>
      <c r="K16" s="19">
        <v>0.5</v>
      </c>
      <c r="L16" s="19">
        <v>0.5416666666666666</v>
      </c>
      <c r="M16" s="19">
        <v>0.7083333333333334</v>
      </c>
      <c r="N16" s="20">
        <f t="shared" si="2"/>
        <v>0.3388888889</v>
      </c>
      <c r="P16" s="18">
        <v>14.0</v>
      </c>
      <c r="Q16" s="19"/>
      <c r="R16" s="19"/>
      <c r="S16" s="19"/>
      <c r="T16" s="19"/>
      <c r="U16" s="21"/>
      <c r="W16" s="18">
        <v>13.0</v>
      </c>
      <c r="X16" s="32"/>
      <c r="Y16" s="32"/>
      <c r="Z16" s="32"/>
      <c r="AA16" s="32"/>
      <c r="AB16" s="21">
        <f t="shared" si="4"/>
        <v>0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 ht="14.25" customHeight="1">
      <c r="B17" s="41"/>
      <c r="E17" s="42"/>
      <c r="F17" s="41"/>
      <c r="G17" s="42"/>
      <c r="I17" s="18">
        <v>19.0</v>
      </c>
      <c r="J17" s="19">
        <v>0.325</v>
      </c>
      <c r="K17" s="19">
        <v>0.5</v>
      </c>
      <c r="L17" s="19">
        <v>0.5416666666666666</v>
      </c>
      <c r="M17" s="19">
        <v>0.7083333333333334</v>
      </c>
      <c r="N17" s="20">
        <f t="shared" si="2"/>
        <v>0.3416666667</v>
      </c>
      <c r="P17" s="18">
        <v>15.0</v>
      </c>
      <c r="Q17" s="32">
        <v>0.2916666666666667</v>
      </c>
      <c r="R17" s="32">
        <v>0.5</v>
      </c>
      <c r="S17" s="32">
        <v>0.5416666666666666</v>
      </c>
      <c r="T17" s="32">
        <v>0.7083333333333334</v>
      </c>
      <c r="U17" s="21">
        <f t="shared" ref="U17:U20" si="6">SUM(R17-Q17)+(T17-S17)</f>
        <v>0.375</v>
      </c>
      <c r="W17" s="18">
        <v>14.0</v>
      </c>
      <c r="X17" s="32"/>
      <c r="Y17" s="32"/>
      <c r="Z17" s="32"/>
      <c r="AA17" s="32"/>
      <c r="AB17" s="21">
        <f t="shared" si="4"/>
        <v>0</v>
      </c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 ht="14.25" customHeight="1">
      <c r="B18" s="33"/>
      <c r="C18" s="34"/>
      <c r="D18" s="34"/>
      <c r="E18" s="35"/>
      <c r="F18" s="33"/>
      <c r="G18" s="35"/>
      <c r="I18" s="18">
        <v>20.0</v>
      </c>
      <c r="J18" s="19">
        <v>0.3263888888888889</v>
      </c>
      <c r="K18" s="19">
        <v>0.5</v>
      </c>
      <c r="L18" s="19">
        <v>0.5416666666666666</v>
      </c>
      <c r="M18" s="19">
        <v>0.7083333333333334</v>
      </c>
      <c r="N18" s="20">
        <f t="shared" si="2"/>
        <v>0.3402777778</v>
      </c>
      <c r="P18" s="18">
        <v>16.0</v>
      </c>
      <c r="Q18" s="32">
        <v>0.3277777777777778</v>
      </c>
      <c r="R18" s="32">
        <v>0.5</v>
      </c>
      <c r="S18" s="32">
        <v>0.5416666666666666</v>
      </c>
      <c r="T18" s="32">
        <v>0.7083333333333334</v>
      </c>
      <c r="U18" s="21">
        <f t="shared" si="6"/>
        <v>0.3388888889</v>
      </c>
      <c r="W18" s="18">
        <v>15.0</v>
      </c>
      <c r="X18" s="32"/>
      <c r="Y18" s="32"/>
      <c r="Z18" s="32"/>
      <c r="AA18" s="32"/>
      <c r="AB18" s="21">
        <f t="shared" si="4"/>
        <v>0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ht="14.25" customHeight="1">
      <c r="I19" s="18">
        <v>23.0</v>
      </c>
      <c r="J19" s="19">
        <v>0.3263888888888889</v>
      </c>
      <c r="K19" s="19">
        <v>0.5</v>
      </c>
      <c r="L19" s="19">
        <v>0.5416666666666666</v>
      </c>
      <c r="M19" s="19">
        <v>0.7083333333333334</v>
      </c>
      <c r="N19" s="20">
        <f t="shared" si="2"/>
        <v>0.3402777778</v>
      </c>
      <c r="P19" s="18">
        <v>17.0</v>
      </c>
      <c r="Q19" s="32">
        <v>0.32708333333333334</v>
      </c>
      <c r="R19" s="32">
        <v>0.5</v>
      </c>
      <c r="S19" s="32">
        <v>0.5416666666666666</v>
      </c>
      <c r="T19" s="32">
        <v>0.7083333333333334</v>
      </c>
      <c r="U19" s="21">
        <f t="shared" si="6"/>
        <v>0.3395833333</v>
      </c>
      <c r="W19" s="18">
        <v>16.0</v>
      </c>
      <c r="X19" s="32"/>
      <c r="Y19" s="32"/>
      <c r="Z19" s="32"/>
      <c r="AA19" s="32"/>
      <c r="AB19" s="21">
        <f t="shared" si="4"/>
        <v>0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ht="14.25" customHeight="1">
      <c r="D20" s="49" t="str">
        <f>INT(((486/24)-A1)*24/10) &amp; " days"</f>
        <v>10 days</v>
      </c>
      <c r="I20" s="18">
        <v>24.0</v>
      </c>
      <c r="J20" s="19">
        <v>0.3229166666666667</v>
      </c>
      <c r="K20" s="19">
        <v>0.5</v>
      </c>
      <c r="L20" s="19">
        <v>0.5416666666666666</v>
      </c>
      <c r="M20" s="19">
        <v>0.6875</v>
      </c>
      <c r="N20" s="20">
        <f t="shared" si="2"/>
        <v>0.3229166667</v>
      </c>
      <c r="P20" s="18">
        <v>18.0</v>
      </c>
      <c r="Q20" s="32">
        <v>0.32569444444444445</v>
      </c>
      <c r="R20" s="32">
        <v>0.5</v>
      </c>
      <c r="S20" s="32">
        <v>0.5416666666666666</v>
      </c>
      <c r="T20" s="32">
        <v>0.7083333333333334</v>
      </c>
      <c r="U20" s="21">
        <f t="shared" si="6"/>
        <v>0.3409722222</v>
      </c>
      <c r="W20" s="18">
        <v>17.0</v>
      </c>
      <c r="X20" s="32"/>
      <c r="Y20" s="32"/>
      <c r="Z20" s="32"/>
      <c r="AA20" s="32"/>
      <c r="AB20" s="21">
        <f t="shared" si="4"/>
        <v>0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ht="14.25" customHeight="1">
      <c r="I21" s="18">
        <v>25.0</v>
      </c>
      <c r="J21" s="50">
        <v>0.3125</v>
      </c>
      <c r="K21" s="50">
        <v>0.4375</v>
      </c>
      <c r="L21" s="50">
        <v>0.5416666666666666</v>
      </c>
      <c r="M21" s="50">
        <v>0.7083333333333334</v>
      </c>
      <c r="N21" s="51">
        <f t="shared" si="2"/>
        <v>0.2916666667</v>
      </c>
      <c r="P21" s="18">
        <v>19.0</v>
      </c>
      <c r="Q21" s="32"/>
      <c r="R21" s="32"/>
      <c r="S21" s="32"/>
      <c r="T21" s="32"/>
      <c r="U21" s="21"/>
      <c r="W21" s="18">
        <v>18.0</v>
      </c>
      <c r="X21" s="32"/>
      <c r="Y21" s="32"/>
      <c r="Z21" s="32"/>
      <c r="AA21" s="32"/>
      <c r="AB21" s="21">
        <f t="shared" si="4"/>
        <v>0</v>
      </c>
      <c r="AC21" s="45"/>
      <c r="AD21" s="23"/>
      <c r="AE21" s="23"/>
      <c r="AF21" s="23"/>
      <c r="AG21" s="23"/>
      <c r="AH21" s="23"/>
      <c r="AI21" s="23"/>
      <c r="AJ21" s="23"/>
      <c r="AK21" s="23"/>
      <c r="AL21" s="23"/>
    </row>
    <row r="22" ht="14.25" customHeight="1">
      <c r="I22" s="18">
        <v>26.0</v>
      </c>
      <c r="J22" s="19">
        <v>0.3020833333333333</v>
      </c>
      <c r="K22" s="19">
        <v>0.5</v>
      </c>
      <c r="L22" s="19">
        <v>0.5416666666666666</v>
      </c>
      <c r="M22" s="19">
        <v>0.7083333333333334</v>
      </c>
      <c r="N22" s="20">
        <f t="shared" si="2"/>
        <v>0.3645833333</v>
      </c>
      <c r="P22" s="18">
        <v>20.0</v>
      </c>
      <c r="Q22" s="19"/>
      <c r="R22" s="19"/>
      <c r="S22" s="19"/>
      <c r="T22" s="19"/>
      <c r="U22" s="21"/>
      <c r="W22" s="18">
        <v>19.0</v>
      </c>
      <c r="X22" s="32"/>
      <c r="Y22" s="32"/>
      <c r="Z22" s="32"/>
      <c r="AA22" s="32"/>
      <c r="AB22" s="21">
        <f t="shared" si="4"/>
        <v>0</v>
      </c>
      <c r="AC22" s="45"/>
      <c r="AD22" s="23"/>
      <c r="AE22" s="23"/>
      <c r="AF22" s="23"/>
      <c r="AG22" s="23"/>
      <c r="AH22" s="23"/>
      <c r="AI22" s="23"/>
      <c r="AJ22" s="23"/>
      <c r="AK22" s="23"/>
      <c r="AL22" s="23"/>
    </row>
    <row r="23" ht="14.25" customHeight="1">
      <c r="I23" s="18">
        <v>27.0</v>
      </c>
      <c r="J23" s="19">
        <v>0.3229166666666667</v>
      </c>
      <c r="K23" s="19">
        <v>0.5</v>
      </c>
      <c r="L23" s="19">
        <v>0.5416666666666666</v>
      </c>
      <c r="M23" s="19">
        <v>0.7083333333333334</v>
      </c>
      <c r="N23" s="20">
        <f t="shared" si="2"/>
        <v>0.34375</v>
      </c>
      <c r="P23" s="18">
        <v>21.0</v>
      </c>
      <c r="Q23" s="19"/>
      <c r="R23" s="19"/>
      <c r="S23" s="19"/>
      <c r="T23" s="19"/>
      <c r="U23" s="21"/>
      <c r="W23" s="18">
        <v>20.0</v>
      </c>
      <c r="X23" s="32"/>
      <c r="Y23" s="32"/>
      <c r="Z23" s="32"/>
      <c r="AA23" s="32"/>
      <c r="AB23" s="21">
        <f t="shared" si="4"/>
        <v>0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</row>
    <row r="24" ht="14.25" customHeight="1">
      <c r="I24" s="18"/>
      <c r="J24" s="19"/>
      <c r="K24" s="19"/>
      <c r="L24" s="19"/>
      <c r="M24" s="19"/>
      <c r="N24" s="20"/>
      <c r="P24" s="22">
        <v>22.0</v>
      </c>
      <c r="Q24" s="19"/>
      <c r="R24" s="19"/>
      <c r="S24" s="19"/>
      <c r="T24" s="19"/>
      <c r="U24" s="21"/>
      <c r="W24" s="18">
        <v>21.0</v>
      </c>
      <c r="X24" s="32"/>
      <c r="Y24" s="32"/>
      <c r="Z24" s="32"/>
      <c r="AA24" s="32"/>
      <c r="AB24" s="21">
        <f t="shared" si="4"/>
        <v>0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</row>
    <row r="25" ht="14.25" customHeight="1">
      <c r="I25" s="52"/>
      <c r="J25" s="19"/>
      <c r="K25" s="19"/>
      <c r="L25" s="19"/>
      <c r="M25" s="19"/>
      <c r="N25" s="20"/>
      <c r="P25" s="22">
        <v>23.0</v>
      </c>
      <c r="Q25" s="32">
        <v>0.3298611111111111</v>
      </c>
      <c r="R25" s="32">
        <v>0.5</v>
      </c>
      <c r="S25" s="32">
        <v>0.5416666666666666</v>
      </c>
      <c r="T25" s="32">
        <v>0.7083333333333334</v>
      </c>
      <c r="U25" s="21">
        <f t="shared" ref="U25:U29" si="7">SUM(R25-Q25)+(T25-S25)</f>
        <v>0.3368055556</v>
      </c>
      <c r="W25" s="22">
        <v>22.0</v>
      </c>
      <c r="X25" s="32"/>
      <c r="Y25" s="32"/>
      <c r="Z25" s="32"/>
      <c r="AA25" s="32"/>
      <c r="AB25" s="21">
        <f t="shared" si="4"/>
        <v>0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</row>
    <row r="26" ht="14.25" customHeight="1">
      <c r="I26" s="53" t="s">
        <v>17</v>
      </c>
      <c r="J26" s="4"/>
      <c r="K26" s="4"/>
      <c r="L26" s="4"/>
      <c r="M26" s="5"/>
      <c r="N26" s="54">
        <f>SUM(N4:N25)</f>
        <v>6.784027778</v>
      </c>
      <c r="P26" s="22">
        <v>24.0</v>
      </c>
      <c r="Q26" s="32">
        <v>0.32222222222222224</v>
      </c>
      <c r="R26" s="32">
        <v>0.5</v>
      </c>
      <c r="S26" s="32">
        <v>0.5416666666666666</v>
      </c>
      <c r="T26" s="32">
        <v>0.7083333333333334</v>
      </c>
      <c r="U26" s="21">
        <f t="shared" si="7"/>
        <v>0.3444444444</v>
      </c>
      <c r="W26" s="22">
        <v>23.0</v>
      </c>
      <c r="X26" s="32"/>
      <c r="Y26" s="32"/>
      <c r="Z26" s="32"/>
      <c r="AA26" s="32"/>
      <c r="AB26" s="21">
        <f t="shared" si="4"/>
        <v>0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ht="14.25" customHeight="1">
      <c r="P27" s="22">
        <v>25.0</v>
      </c>
      <c r="Q27" s="32">
        <v>0.32430555555555557</v>
      </c>
      <c r="R27" s="32">
        <v>0.5</v>
      </c>
      <c r="S27" s="32">
        <v>0.5416666666666666</v>
      </c>
      <c r="T27" s="32">
        <v>0.7083333333333334</v>
      </c>
      <c r="U27" s="21">
        <f t="shared" si="7"/>
        <v>0.3423611111</v>
      </c>
      <c r="W27" s="22">
        <v>24.0</v>
      </c>
      <c r="X27" s="32"/>
      <c r="Y27" s="32"/>
      <c r="Z27" s="32"/>
      <c r="AA27" s="32"/>
      <c r="AB27" s="21">
        <f t="shared" si="4"/>
        <v>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ht="14.25" customHeight="1">
      <c r="P28" s="22">
        <v>26.0</v>
      </c>
      <c r="Q28" s="32">
        <v>0.3215277777777778</v>
      </c>
      <c r="R28" s="32">
        <v>0.5</v>
      </c>
      <c r="S28" s="32">
        <v>0.5416666666666666</v>
      </c>
      <c r="T28" s="32">
        <v>0.7083333333333334</v>
      </c>
      <c r="U28" s="21">
        <f t="shared" si="7"/>
        <v>0.3451388889</v>
      </c>
      <c r="W28" s="22">
        <v>25.0</v>
      </c>
      <c r="X28" s="19"/>
      <c r="Y28" s="19"/>
      <c r="Z28" s="19"/>
      <c r="AA28" s="19"/>
      <c r="AB28" s="21">
        <f t="shared" si="4"/>
        <v>0</v>
      </c>
      <c r="AC28" s="45"/>
      <c r="AD28" s="23"/>
      <c r="AE28" s="23"/>
      <c r="AF28" s="23"/>
      <c r="AG28" s="23"/>
      <c r="AH28" s="23"/>
      <c r="AI28" s="23"/>
      <c r="AJ28" s="23"/>
      <c r="AK28" s="23"/>
      <c r="AL28" s="23"/>
    </row>
    <row r="29" ht="14.25" customHeight="1">
      <c r="P29" s="22">
        <v>27.0</v>
      </c>
      <c r="Q29" s="32">
        <v>0.2965277777777778</v>
      </c>
      <c r="R29" s="32">
        <v>0.5</v>
      </c>
      <c r="S29" s="32">
        <v>0.5416666666666666</v>
      </c>
      <c r="T29" s="32">
        <v>0.7083333333333334</v>
      </c>
      <c r="U29" s="21">
        <f t="shared" si="7"/>
        <v>0.3701388889</v>
      </c>
      <c r="W29" s="22">
        <v>26.0</v>
      </c>
      <c r="X29" s="19"/>
      <c r="Y29" s="19"/>
      <c r="Z29" s="19"/>
      <c r="AA29" s="19"/>
      <c r="AB29" s="21">
        <f t="shared" si="4"/>
        <v>0</v>
      </c>
      <c r="AC29" s="45"/>
      <c r="AD29" s="23"/>
      <c r="AE29" s="23"/>
      <c r="AF29" s="23"/>
      <c r="AG29" s="23"/>
      <c r="AH29" s="23"/>
      <c r="AI29" s="23"/>
      <c r="AJ29" s="23"/>
      <c r="AK29" s="23"/>
      <c r="AL29" s="23"/>
    </row>
    <row r="30" ht="14.25" customHeight="1">
      <c r="E30" s="55"/>
      <c r="P30" s="22">
        <v>28.0</v>
      </c>
      <c r="Q30" s="19"/>
      <c r="R30" s="19"/>
      <c r="S30" s="19"/>
      <c r="T30" s="19"/>
      <c r="U30" s="21"/>
      <c r="W30" s="22">
        <v>27.0</v>
      </c>
      <c r="X30" s="32"/>
      <c r="Y30" s="32"/>
      <c r="Z30" s="32"/>
      <c r="AA30" s="32"/>
      <c r="AB30" s="21">
        <f t="shared" si="4"/>
        <v>0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</row>
    <row r="31" ht="14.25" customHeight="1">
      <c r="P31" s="22">
        <v>29.0</v>
      </c>
      <c r="Q31" s="19"/>
      <c r="R31" s="19"/>
      <c r="S31" s="19"/>
      <c r="T31" s="19"/>
      <c r="U31" s="21"/>
      <c r="W31" s="22">
        <v>28.0</v>
      </c>
      <c r="X31" s="32"/>
      <c r="Y31" s="32"/>
      <c r="Z31" s="32"/>
      <c r="AA31" s="32"/>
      <c r="AB31" s="21">
        <f t="shared" si="4"/>
        <v>0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</row>
    <row r="32" ht="14.25" customHeight="1">
      <c r="P32" s="22">
        <v>30.0</v>
      </c>
      <c r="Q32" s="32">
        <v>0.3194444444444444</v>
      </c>
      <c r="R32" s="32">
        <v>0.5</v>
      </c>
      <c r="S32" s="32">
        <v>0.5416666666666666</v>
      </c>
      <c r="T32" s="32">
        <v>0.7083333333333334</v>
      </c>
      <c r="U32" s="21">
        <f>SUM(R32-Q32)+(T32-S32)</f>
        <v>0.3472222222</v>
      </c>
      <c r="W32" s="22">
        <v>29.0</v>
      </c>
      <c r="X32" s="32"/>
      <c r="Y32" s="32"/>
      <c r="Z32" s="32"/>
      <c r="AA32" s="32"/>
      <c r="AB32" s="21">
        <f t="shared" si="4"/>
        <v>0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</row>
    <row r="33" ht="14.25" customHeight="1">
      <c r="P33" s="22">
        <v>31.0</v>
      </c>
      <c r="Q33" s="32"/>
      <c r="R33" s="32"/>
      <c r="S33" s="32"/>
      <c r="T33" s="32"/>
      <c r="U33" s="21"/>
      <c r="W33" s="22">
        <v>30.0</v>
      </c>
      <c r="X33" s="32"/>
      <c r="Y33" s="32"/>
      <c r="Z33" s="32"/>
      <c r="AA33" s="32"/>
      <c r="AB33" s="21">
        <f t="shared" si="4"/>
        <v>0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</row>
    <row r="34" ht="14.25" customHeight="1">
      <c r="P34" s="53" t="s">
        <v>17</v>
      </c>
      <c r="Q34" s="4"/>
      <c r="R34" s="4"/>
      <c r="S34" s="4"/>
      <c r="T34" s="5"/>
      <c r="U34" s="54">
        <f>SUM(U4:U33)</f>
        <v>6.775</v>
      </c>
      <c r="W34" s="53" t="s">
        <v>17</v>
      </c>
      <c r="X34" s="4"/>
      <c r="Y34" s="4"/>
      <c r="Z34" s="4"/>
      <c r="AA34" s="5"/>
      <c r="AB34" s="54">
        <f>SUM(AB4:AB33)</f>
        <v>1.588888889</v>
      </c>
      <c r="AC34" s="56"/>
      <c r="AD34" s="56"/>
      <c r="AE34" s="56"/>
      <c r="AF34" s="56"/>
      <c r="AG34" s="56"/>
      <c r="AH34" s="56"/>
      <c r="AI34" s="56"/>
      <c r="AJ34" s="56"/>
      <c r="AK34" s="56"/>
      <c r="AL34" s="56"/>
    </row>
    <row r="35" ht="14.25" customHeight="1"/>
    <row r="36" ht="14.25" customHeight="1"/>
    <row r="37" ht="14.25" customHeight="1"/>
    <row r="38" ht="14.2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</row>
    <row r="39" ht="14.25" customHeight="1">
      <c r="A39" s="57"/>
      <c r="B39" s="58" t="s">
        <v>24</v>
      </c>
      <c r="C39" s="30"/>
      <c r="D39" s="30"/>
      <c r="E39" s="30"/>
      <c r="F39" s="30"/>
      <c r="G39" s="31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</row>
    <row r="40" ht="14.25" customHeight="1">
      <c r="A40" s="57"/>
      <c r="B40" s="33"/>
      <c r="C40" s="34"/>
      <c r="D40" s="34"/>
      <c r="E40" s="34"/>
      <c r="F40" s="34"/>
      <c r="G40" s="35"/>
      <c r="H40" s="57"/>
      <c r="I40" s="59" t="s">
        <v>0</v>
      </c>
      <c r="J40" s="60" t="s">
        <v>3</v>
      </c>
      <c r="K40" s="4"/>
      <c r="L40" s="4"/>
      <c r="M40" s="5"/>
      <c r="N40" s="59" t="s">
        <v>2</v>
      </c>
      <c r="O40" s="57"/>
      <c r="P40" s="59" t="s">
        <v>0</v>
      </c>
      <c r="Q40" s="60" t="s">
        <v>4</v>
      </c>
      <c r="R40" s="4"/>
      <c r="S40" s="4"/>
      <c r="T40" s="5"/>
      <c r="U40" s="59" t="s">
        <v>2</v>
      </c>
      <c r="V40" s="57"/>
      <c r="W40" s="61" t="s">
        <v>0</v>
      </c>
      <c r="X40" s="62" t="s">
        <v>5</v>
      </c>
      <c r="Y40" s="4"/>
      <c r="Z40" s="4"/>
      <c r="AA40" s="5"/>
      <c r="AB40" s="61" t="s">
        <v>2</v>
      </c>
      <c r="AC40" s="7"/>
      <c r="AD40" s="63" t="s">
        <v>8</v>
      </c>
      <c r="AE40" s="64" t="s">
        <v>9</v>
      </c>
      <c r="AF40" s="64" t="s">
        <v>10</v>
      </c>
      <c r="AG40" s="7"/>
      <c r="AH40" s="7"/>
      <c r="AI40" s="7"/>
      <c r="AJ40" s="7"/>
      <c r="AK40" s="7"/>
      <c r="AL40" s="7"/>
    </row>
    <row r="41" ht="14.25" customHeight="1">
      <c r="A41" s="57"/>
      <c r="B41" s="57"/>
      <c r="C41" s="57"/>
      <c r="D41" s="57"/>
      <c r="E41" s="57"/>
      <c r="F41" s="57"/>
      <c r="G41" s="57"/>
      <c r="H41" s="57"/>
      <c r="I41" s="10"/>
      <c r="J41" s="60" t="s">
        <v>6</v>
      </c>
      <c r="K41" s="5"/>
      <c r="L41" s="60" t="s">
        <v>7</v>
      </c>
      <c r="M41" s="5"/>
      <c r="N41" s="10"/>
      <c r="O41" s="57"/>
      <c r="P41" s="10"/>
      <c r="Q41" s="60" t="s">
        <v>6</v>
      </c>
      <c r="R41" s="5"/>
      <c r="S41" s="60" t="s">
        <v>7</v>
      </c>
      <c r="T41" s="5"/>
      <c r="U41" s="10"/>
      <c r="V41" s="57"/>
      <c r="W41" s="10"/>
      <c r="X41" s="65" t="s">
        <v>6</v>
      </c>
      <c r="Y41" s="5"/>
      <c r="Z41" s="65" t="s">
        <v>7</v>
      </c>
      <c r="AA41" s="5"/>
      <c r="AB41" s="10"/>
      <c r="AC41" s="7"/>
      <c r="AD41" s="66" t="s">
        <v>13</v>
      </c>
      <c r="AE41" s="67" t="s">
        <v>14</v>
      </c>
      <c r="AF41" s="68">
        <f>SUM(G52:G53)</f>
        <v>0.6875</v>
      </c>
      <c r="AG41" s="7"/>
      <c r="AH41" s="7"/>
      <c r="AI41" s="7"/>
      <c r="AJ41" s="7"/>
      <c r="AK41" s="7"/>
      <c r="AL41" s="7"/>
    </row>
    <row r="42" ht="14.25" customHeight="1">
      <c r="A42" s="57"/>
      <c r="B42" s="58" t="s">
        <v>2</v>
      </c>
      <c r="C42" s="30"/>
      <c r="D42" s="30"/>
      <c r="E42" s="30"/>
      <c r="F42" s="30"/>
      <c r="G42" s="31"/>
      <c r="H42" s="57"/>
      <c r="I42" s="13"/>
      <c r="J42" s="69" t="s">
        <v>11</v>
      </c>
      <c r="K42" s="69" t="s">
        <v>12</v>
      </c>
      <c r="L42" s="69" t="s">
        <v>11</v>
      </c>
      <c r="M42" s="69" t="s">
        <v>12</v>
      </c>
      <c r="N42" s="13"/>
      <c r="O42" s="57"/>
      <c r="P42" s="13"/>
      <c r="Q42" s="69" t="s">
        <v>11</v>
      </c>
      <c r="R42" s="69" t="s">
        <v>12</v>
      </c>
      <c r="S42" s="69" t="s">
        <v>11</v>
      </c>
      <c r="T42" s="69" t="s">
        <v>12</v>
      </c>
      <c r="U42" s="13"/>
      <c r="V42" s="57"/>
      <c r="W42" s="13"/>
      <c r="X42" s="70" t="s">
        <v>11</v>
      </c>
      <c r="Y42" s="70" t="s">
        <v>12</v>
      </c>
      <c r="Z42" s="70" t="s">
        <v>11</v>
      </c>
      <c r="AA42" s="70" t="s">
        <v>12</v>
      </c>
      <c r="AB42" s="13"/>
      <c r="AC42" s="7"/>
      <c r="AD42" s="66" t="s">
        <v>15</v>
      </c>
      <c r="AE42" s="71">
        <v>46037.0</v>
      </c>
      <c r="AF42" s="68">
        <f>SUM(N43:N52)</f>
        <v>3.443055556</v>
      </c>
      <c r="AG42" s="7"/>
      <c r="AH42" s="7"/>
      <c r="AI42" s="7"/>
      <c r="AJ42" s="7"/>
      <c r="AK42" s="7"/>
      <c r="AL42" s="7"/>
    </row>
    <row r="43" ht="14.25" customHeight="1">
      <c r="A43" s="57"/>
      <c r="B43" s="33"/>
      <c r="C43" s="34"/>
      <c r="D43" s="34"/>
      <c r="E43" s="34"/>
      <c r="F43" s="34"/>
      <c r="G43" s="35"/>
      <c r="H43" s="57"/>
      <c r="I43" s="72">
        <v>2.0</v>
      </c>
      <c r="J43" s="73">
        <v>0.30972222222222223</v>
      </c>
      <c r="K43" s="73">
        <v>0.5</v>
      </c>
      <c r="L43" s="73">
        <v>0.5416666666666666</v>
      </c>
      <c r="M43" s="73">
        <v>0.7083333333333334</v>
      </c>
      <c r="N43" s="74">
        <f t="shared" ref="N43:N64" si="8">SUM(K43-J43)+(M43-L43)</f>
        <v>0.3569444444</v>
      </c>
      <c r="O43" s="57"/>
      <c r="P43" s="75">
        <v>2.0</v>
      </c>
      <c r="Q43" s="76">
        <v>0.2916666666666667</v>
      </c>
      <c r="R43" s="76">
        <v>0.5</v>
      </c>
      <c r="S43" s="76">
        <v>0.5416666666666666</v>
      </c>
      <c r="T43" s="76">
        <v>0.7083333333333334</v>
      </c>
      <c r="U43" s="74">
        <f t="shared" ref="U43:U72" si="9">SUM(R43-Q43)+(T43-S43)</f>
        <v>0.375</v>
      </c>
      <c r="V43" s="57"/>
      <c r="W43" s="77">
        <v>1.0</v>
      </c>
      <c r="X43" s="78"/>
      <c r="Y43" s="78"/>
      <c r="Z43" s="78"/>
      <c r="AA43" s="78"/>
      <c r="AB43" s="79">
        <f t="shared" ref="AB43:AB72" si="10">SUM(Y43-X43)+(AA43-Z43)</f>
        <v>0</v>
      </c>
      <c r="AC43" s="23"/>
      <c r="AD43" s="66" t="s">
        <v>15</v>
      </c>
      <c r="AE43" s="80" t="s">
        <v>16</v>
      </c>
      <c r="AF43" s="68">
        <f>SUM(N53:N63)</f>
        <v>3.880555556</v>
      </c>
      <c r="AG43" s="23"/>
      <c r="AH43" s="23"/>
      <c r="AI43" s="23"/>
      <c r="AJ43" s="23"/>
      <c r="AK43" s="23"/>
      <c r="AL43" s="23"/>
    </row>
    <row r="44" ht="14.25" customHeight="1">
      <c r="A44" s="57"/>
      <c r="B44" s="81">
        <f>SUM(G54 + N65 + U73 + AB73)</f>
        <v>18.47013889</v>
      </c>
      <c r="C44" s="82"/>
      <c r="D44" s="82"/>
      <c r="E44" s="82"/>
      <c r="F44" s="82"/>
      <c r="G44" s="83"/>
      <c r="H44" s="57"/>
      <c r="I44" s="72">
        <v>3.0</v>
      </c>
      <c r="J44" s="73">
        <v>0.3125</v>
      </c>
      <c r="K44" s="73">
        <v>0.5</v>
      </c>
      <c r="L44" s="73">
        <v>0.5416666666666666</v>
      </c>
      <c r="M44" s="73">
        <v>0.7083333333333334</v>
      </c>
      <c r="N44" s="74">
        <f t="shared" si="8"/>
        <v>0.3541666667</v>
      </c>
      <c r="O44" s="57"/>
      <c r="P44" s="75">
        <v>3.0</v>
      </c>
      <c r="Q44" s="76">
        <v>0.2916666666666667</v>
      </c>
      <c r="R44" s="76">
        <v>0.5</v>
      </c>
      <c r="S44" s="76">
        <v>0.5416666666666666</v>
      </c>
      <c r="T44" s="76">
        <v>0.7083333333333334</v>
      </c>
      <c r="U44" s="74">
        <f t="shared" si="9"/>
        <v>0.375</v>
      </c>
      <c r="V44" s="57"/>
      <c r="W44" s="77">
        <v>2.0</v>
      </c>
      <c r="X44" s="84">
        <v>0.2847222222222222</v>
      </c>
      <c r="Y44" s="84">
        <v>0.5</v>
      </c>
      <c r="Z44" s="84">
        <v>0.5416666666666666</v>
      </c>
      <c r="AA44" s="84">
        <v>0.7083333333333334</v>
      </c>
      <c r="AB44" s="79">
        <f t="shared" si="10"/>
        <v>0.3819444444</v>
      </c>
      <c r="AC44" s="23"/>
      <c r="AD44" s="66" t="s">
        <v>18</v>
      </c>
      <c r="AE44" s="71">
        <v>46037.0</v>
      </c>
      <c r="AF44" s="68">
        <f>SUM(U43:U56)</f>
        <v>4.475</v>
      </c>
      <c r="AG44" s="23"/>
      <c r="AH44" s="23"/>
      <c r="AI44" s="23"/>
      <c r="AJ44" s="23"/>
      <c r="AK44" s="23"/>
      <c r="AL44" s="23"/>
    </row>
    <row r="45" ht="14.25" customHeight="1">
      <c r="A45" s="57"/>
      <c r="B45" s="85"/>
      <c r="G45" s="86"/>
      <c r="H45" s="57"/>
      <c r="I45" s="72">
        <v>4.0</v>
      </c>
      <c r="J45" s="73">
        <v>0.3125</v>
      </c>
      <c r="K45" s="73">
        <v>0.5</v>
      </c>
      <c r="L45" s="73">
        <v>0.5416666666666666</v>
      </c>
      <c r="M45" s="73">
        <v>0.7083333333333334</v>
      </c>
      <c r="N45" s="74">
        <f t="shared" si="8"/>
        <v>0.3541666667</v>
      </c>
      <c r="O45" s="57"/>
      <c r="P45" s="75">
        <v>4.0</v>
      </c>
      <c r="Q45" s="76">
        <v>0.2951388888888889</v>
      </c>
      <c r="R45" s="76">
        <v>0.5</v>
      </c>
      <c r="S45" s="76">
        <v>0.5416666666666666</v>
      </c>
      <c r="T45" s="76">
        <v>0.7083333333333334</v>
      </c>
      <c r="U45" s="74">
        <f t="shared" si="9"/>
        <v>0.3715277778</v>
      </c>
      <c r="V45" s="57"/>
      <c r="W45" s="77">
        <v>3.0</v>
      </c>
      <c r="X45" s="78"/>
      <c r="Y45" s="78"/>
      <c r="Z45" s="78"/>
      <c r="AA45" s="78"/>
      <c r="AB45" s="79">
        <f t="shared" si="10"/>
        <v>0</v>
      </c>
      <c r="AC45" s="23"/>
      <c r="AD45" s="66" t="s">
        <v>18</v>
      </c>
      <c r="AE45" s="80" t="s">
        <v>19</v>
      </c>
      <c r="AF45" s="68">
        <f>SUM(U57:U72)</f>
        <v>3.718055556</v>
      </c>
      <c r="AH45" s="23"/>
      <c r="AI45" s="23"/>
      <c r="AJ45" s="23"/>
      <c r="AK45" s="23"/>
      <c r="AL45" s="23"/>
    </row>
    <row r="46" ht="14.25" customHeight="1">
      <c r="A46" s="57"/>
      <c r="B46" s="85"/>
      <c r="G46" s="86"/>
      <c r="H46" s="57"/>
      <c r="I46" s="72">
        <v>5.0</v>
      </c>
      <c r="J46" s="73">
        <v>0.3263888888888889</v>
      </c>
      <c r="K46" s="73">
        <v>0.5</v>
      </c>
      <c r="L46" s="73">
        <v>0.5416666666666666</v>
      </c>
      <c r="M46" s="73">
        <v>0.7083333333333334</v>
      </c>
      <c r="N46" s="74">
        <f t="shared" si="8"/>
        <v>0.3402777778</v>
      </c>
      <c r="O46" s="57"/>
      <c r="P46" s="75">
        <v>5.0</v>
      </c>
      <c r="Q46" s="76">
        <v>0.2916666666666667</v>
      </c>
      <c r="R46" s="76">
        <v>0.5</v>
      </c>
      <c r="S46" s="76">
        <v>0.5416666666666666</v>
      </c>
      <c r="T46" s="76">
        <v>0.7083333333333334</v>
      </c>
      <c r="U46" s="74">
        <f t="shared" si="9"/>
        <v>0.375</v>
      </c>
      <c r="V46" s="57"/>
      <c r="W46" s="77">
        <v>4.0</v>
      </c>
      <c r="X46" s="78"/>
      <c r="Y46" s="78"/>
      <c r="Z46" s="78"/>
      <c r="AA46" s="78"/>
      <c r="AB46" s="79">
        <f t="shared" si="10"/>
        <v>0</v>
      </c>
      <c r="AC46" s="23"/>
      <c r="AD46" s="66" t="s">
        <v>5</v>
      </c>
      <c r="AE46" s="71">
        <v>46037.0</v>
      </c>
      <c r="AF46" s="68">
        <f>SUM(AB43:AB57)</f>
        <v>2.265972222</v>
      </c>
      <c r="AH46" s="23"/>
      <c r="AI46" s="23"/>
      <c r="AJ46" s="23"/>
      <c r="AK46" s="23"/>
      <c r="AL46" s="23"/>
    </row>
    <row r="47" ht="14.25" customHeight="1">
      <c r="A47" s="57"/>
      <c r="B47" s="87"/>
      <c r="C47" s="88"/>
      <c r="D47" s="88"/>
      <c r="E47" s="88"/>
      <c r="F47" s="88"/>
      <c r="G47" s="89"/>
      <c r="H47" s="57"/>
      <c r="I47" s="72">
        <v>6.0</v>
      </c>
      <c r="J47" s="73">
        <v>0.3263888888888889</v>
      </c>
      <c r="K47" s="73">
        <v>0.5</v>
      </c>
      <c r="L47" s="73">
        <v>0.5416666666666666</v>
      </c>
      <c r="M47" s="73">
        <v>0.7083333333333334</v>
      </c>
      <c r="N47" s="74">
        <f t="shared" si="8"/>
        <v>0.3402777778</v>
      </c>
      <c r="O47" s="57"/>
      <c r="P47" s="75">
        <v>6.0</v>
      </c>
      <c r="Q47" s="90"/>
      <c r="R47" s="90"/>
      <c r="S47" s="90"/>
      <c r="T47" s="90"/>
      <c r="U47" s="74">
        <f t="shared" si="9"/>
        <v>0</v>
      </c>
      <c r="V47" s="57"/>
      <c r="W47" s="77">
        <v>5.0</v>
      </c>
      <c r="X47" s="91"/>
      <c r="Y47" s="91"/>
      <c r="Z47" s="84"/>
      <c r="AA47" s="84"/>
      <c r="AB47" s="79">
        <f t="shared" si="10"/>
        <v>0</v>
      </c>
      <c r="AC47" s="23"/>
      <c r="AD47" s="66" t="s">
        <v>5</v>
      </c>
      <c r="AE47" s="80" t="s">
        <v>21</v>
      </c>
      <c r="AF47" s="68">
        <f>SUM(AB58:AB72)</f>
        <v>0</v>
      </c>
      <c r="AH47" s="23"/>
      <c r="AI47" s="23"/>
      <c r="AJ47" s="23"/>
      <c r="AK47" s="23"/>
      <c r="AL47" s="23"/>
    </row>
    <row r="48" ht="14.25" customHeight="1">
      <c r="A48" s="57"/>
      <c r="B48" s="57"/>
      <c r="C48" s="57"/>
      <c r="D48" s="57"/>
      <c r="E48" s="57"/>
      <c r="F48" s="57"/>
      <c r="G48" s="57"/>
      <c r="H48" s="57"/>
      <c r="I48" s="72">
        <v>10.0</v>
      </c>
      <c r="J48" s="73">
        <v>0.32708333333333334</v>
      </c>
      <c r="K48" s="73">
        <v>0.5</v>
      </c>
      <c r="L48" s="73">
        <v>0.5416666666666666</v>
      </c>
      <c r="M48" s="73">
        <v>0.7083333333333334</v>
      </c>
      <c r="N48" s="74">
        <f t="shared" si="8"/>
        <v>0.3395833333</v>
      </c>
      <c r="O48" s="57"/>
      <c r="P48" s="75">
        <v>7.0</v>
      </c>
      <c r="Q48" s="84">
        <v>0.2916666666666667</v>
      </c>
      <c r="R48" s="84">
        <v>0.5</v>
      </c>
      <c r="S48" s="84">
        <v>0.5416666666666666</v>
      </c>
      <c r="T48" s="84">
        <v>0.7083333333333334</v>
      </c>
      <c r="U48" s="74">
        <f t="shared" si="9"/>
        <v>0.375</v>
      </c>
      <c r="V48" s="57"/>
      <c r="W48" s="77">
        <v>6.0</v>
      </c>
      <c r="X48" s="91">
        <v>0.2881944444444444</v>
      </c>
      <c r="Y48" s="91">
        <v>0.5</v>
      </c>
      <c r="Z48" s="84">
        <v>0.5416666666666666</v>
      </c>
      <c r="AA48" s="84">
        <v>0.7083333333333334</v>
      </c>
      <c r="AB48" s="79">
        <f t="shared" si="10"/>
        <v>0.3784722222</v>
      </c>
      <c r="AC48" s="23"/>
      <c r="AD48" s="79"/>
      <c r="AE48" s="92"/>
      <c r="AF48" s="92"/>
      <c r="AH48" s="23"/>
      <c r="AI48" s="23"/>
      <c r="AJ48" s="23"/>
      <c r="AK48" s="23"/>
      <c r="AL48" s="23"/>
    </row>
    <row r="49" ht="14.25" customHeight="1">
      <c r="A49" s="57"/>
      <c r="B49" s="93" t="s">
        <v>0</v>
      </c>
      <c r="C49" s="94" t="s">
        <v>25</v>
      </c>
      <c r="D49" s="4"/>
      <c r="E49" s="4"/>
      <c r="F49" s="5"/>
      <c r="G49" s="93" t="s">
        <v>2</v>
      </c>
      <c r="H49" s="57"/>
      <c r="I49" s="72">
        <v>11.0</v>
      </c>
      <c r="J49" s="73">
        <v>0.3263888888888889</v>
      </c>
      <c r="K49" s="73">
        <v>0.5</v>
      </c>
      <c r="L49" s="73">
        <v>0.5416666666666666</v>
      </c>
      <c r="M49" s="73">
        <v>0.7083333333333334</v>
      </c>
      <c r="N49" s="74">
        <f t="shared" si="8"/>
        <v>0.3402777778</v>
      </c>
      <c r="O49" s="57"/>
      <c r="P49" s="75">
        <v>8.0</v>
      </c>
      <c r="Q49" s="84">
        <v>0.2916666666666667</v>
      </c>
      <c r="R49" s="84">
        <v>0.5</v>
      </c>
      <c r="S49" s="84">
        <v>0.5416666666666666</v>
      </c>
      <c r="T49" s="84">
        <v>0.7083333333333334</v>
      </c>
      <c r="U49" s="74">
        <f t="shared" si="9"/>
        <v>0.375</v>
      </c>
      <c r="V49" s="57"/>
      <c r="W49" s="77">
        <v>7.0</v>
      </c>
      <c r="X49" s="91">
        <v>0.28958333333333336</v>
      </c>
      <c r="Y49" s="84">
        <v>0.5</v>
      </c>
      <c r="Z49" s="84">
        <v>0.5416666666666666</v>
      </c>
      <c r="AA49" s="84">
        <v>0.7083333333333334</v>
      </c>
      <c r="AB49" s="79">
        <f t="shared" si="10"/>
        <v>0.3770833333</v>
      </c>
      <c r="AC49" s="23"/>
      <c r="AD49" s="79"/>
      <c r="AE49" s="95" t="s">
        <v>17</v>
      </c>
      <c r="AF49" s="68">
        <f>SUM(AF41:AF47)</f>
        <v>18.47013889</v>
      </c>
      <c r="AH49" s="23"/>
      <c r="AI49" s="23"/>
      <c r="AJ49" s="23"/>
      <c r="AK49" s="23"/>
      <c r="AL49" s="23"/>
    </row>
    <row r="50" ht="14.25" customHeight="1">
      <c r="A50" s="57"/>
      <c r="B50" s="10"/>
      <c r="C50" s="94" t="s">
        <v>6</v>
      </c>
      <c r="D50" s="5"/>
      <c r="E50" s="94" t="s">
        <v>7</v>
      </c>
      <c r="F50" s="5"/>
      <c r="G50" s="10"/>
      <c r="H50" s="57"/>
      <c r="I50" s="72">
        <v>12.0</v>
      </c>
      <c r="J50" s="73">
        <v>0.3298611111111111</v>
      </c>
      <c r="K50" s="73">
        <v>0.5</v>
      </c>
      <c r="L50" s="73">
        <v>0.5416666666666666</v>
      </c>
      <c r="M50" s="73">
        <v>0.7083333333333334</v>
      </c>
      <c r="N50" s="74">
        <f t="shared" si="8"/>
        <v>0.3368055556</v>
      </c>
      <c r="O50" s="57"/>
      <c r="P50" s="75">
        <v>9.0</v>
      </c>
      <c r="Q50" s="84">
        <v>0.3055555555555556</v>
      </c>
      <c r="R50" s="84">
        <v>0.5</v>
      </c>
      <c r="S50" s="84">
        <v>0.5416666666666666</v>
      </c>
      <c r="T50" s="84">
        <v>0.7083333333333334</v>
      </c>
      <c r="U50" s="74">
        <f t="shared" si="9"/>
        <v>0.3611111111</v>
      </c>
      <c r="V50" s="57"/>
      <c r="W50" s="77">
        <v>8.0</v>
      </c>
      <c r="X50" s="91">
        <v>0.2916666666666667</v>
      </c>
      <c r="Y50" s="84">
        <v>0.5</v>
      </c>
      <c r="Z50" s="84">
        <v>0.5416666666666666</v>
      </c>
      <c r="AA50" s="84">
        <v>0.7083333333333334</v>
      </c>
      <c r="AB50" s="79">
        <f t="shared" si="10"/>
        <v>0.375</v>
      </c>
      <c r="AC50" s="23"/>
      <c r="AD50" s="23"/>
      <c r="AH50" s="23"/>
      <c r="AI50" s="23"/>
      <c r="AJ50" s="23"/>
      <c r="AK50" s="23"/>
      <c r="AL50" s="23"/>
    </row>
    <row r="51" ht="14.25" customHeight="1">
      <c r="A51" s="57"/>
      <c r="B51" s="13"/>
      <c r="C51" s="96" t="s">
        <v>11</v>
      </c>
      <c r="D51" s="96" t="s">
        <v>12</v>
      </c>
      <c r="E51" s="96" t="s">
        <v>11</v>
      </c>
      <c r="F51" s="96" t="s">
        <v>12</v>
      </c>
      <c r="G51" s="13"/>
      <c r="H51" s="57"/>
      <c r="I51" s="72">
        <v>13.0</v>
      </c>
      <c r="J51" s="73">
        <v>0.3263888888888889</v>
      </c>
      <c r="K51" s="73">
        <v>0.5</v>
      </c>
      <c r="L51" s="73">
        <v>0.5416666666666666</v>
      </c>
      <c r="M51" s="73">
        <v>0.7083333333333334</v>
      </c>
      <c r="N51" s="74">
        <f t="shared" si="8"/>
        <v>0.3402777778</v>
      </c>
      <c r="O51" s="57"/>
      <c r="P51" s="75">
        <v>10.0</v>
      </c>
      <c r="Q51" s="84">
        <v>0.29930555555555555</v>
      </c>
      <c r="R51" s="84">
        <v>0.5</v>
      </c>
      <c r="S51" s="84">
        <v>0.5416666666666666</v>
      </c>
      <c r="T51" s="84">
        <v>0.7083333333333334</v>
      </c>
      <c r="U51" s="74">
        <f t="shared" si="9"/>
        <v>0.3673611111</v>
      </c>
      <c r="V51" s="57"/>
      <c r="W51" s="77">
        <v>9.0</v>
      </c>
      <c r="X51" s="91">
        <v>0.2881944444444444</v>
      </c>
      <c r="Y51" s="91">
        <v>0.5</v>
      </c>
      <c r="Z51" s="84">
        <v>0.5416666666666666</v>
      </c>
      <c r="AA51" s="84">
        <v>0.7083333333333334</v>
      </c>
      <c r="AB51" s="79">
        <f t="shared" si="10"/>
        <v>0.3784722222</v>
      </c>
      <c r="AC51" s="23"/>
      <c r="AD51" s="23"/>
      <c r="AH51" s="23"/>
      <c r="AI51" s="23"/>
      <c r="AJ51" s="23"/>
      <c r="AK51" s="23"/>
      <c r="AL51" s="23"/>
    </row>
    <row r="52" ht="14.25" customHeight="1">
      <c r="A52" s="57"/>
      <c r="B52" s="97">
        <v>29.0</v>
      </c>
      <c r="C52" s="98">
        <v>0.3333333333333333</v>
      </c>
      <c r="D52" s="98">
        <v>0.5</v>
      </c>
      <c r="E52" s="98">
        <v>0.5416666666666666</v>
      </c>
      <c r="F52" s="98">
        <v>0.7083333333333334</v>
      </c>
      <c r="G52" s="99">
        <f t="shared" ref="G52:G53" si="11">SUM(D52-C52)+(F52-E52)</f>
        <v>0.3333333333</v>
      </c>
      <c r="H52" s="57"/>
      <c r="I52" s="72">
        <v>14.0</v>
      </c>
      <c r="J52" s="73">
        <v>0.3263888888888889</v>
      </c>
      <c r="K52" s="73">
        <v>0.5</v>
      </c>
      <c r="L52" s="73">
        <v>0.5416666666666666</v>
      </c>
      <c r="M52" s="73">
        <v>0.7083333333333334</v>
      </c>
      <c r="N52" s="74">
        <f t="shared" si="8"/>
        <v>0.3402777778</v>
      </c>
      <c r="O52" s="57"/>
      <c r="P52" s="75">
        <v>11.0</v>
      </c>
      <c r="Q52" s="84">
        <v>0.2916666666666667</v>
      </c>
      <c r="R52" s="84">
        <v>0.5</v>
      </c>
      <c r="S52" s="84">
        <v>0.5416666666666666</v>
      </c>
      <c r="T52" s="84">
        <v>0.7083333333333334</v>
      </c>
      <c r="U52" s="74">
        <f t="shared" si="9"/>
        <v>0.375</v>
      </c>
      <c r="V52" s="57"/>
      <c r="W52" s="100">
        <v>10.0</v>
      </c>
      <c r="X52" s="91">
        <v>0.2916666666666667</v>
      </c>
      <c r="Y52" s="84">
        <v>0.5</v>
      </c>
      <c r="Z52" s="84">
        <v>0.5416666666666666</v>
      </c>
      <c r="AA52" s="84">
        <v>0.7083333333333334</v>
      </c>
      <c r="AB52" s="79">
        <f t="shared" si="10"/>
        <v>0.375</v>
      </c>
      <c r="AC52" s="23"/>
      <c r="AD52" s="23"/>
      <c r="AH52" s="23"/>
      <c r="AI52" s="23"/>
      <c r="AJ52" s="23"/>
      <c r="AK52" s="23"/>
      <c r="AL52" s="23"/>
    </row>
    <row r="53" ht="14.25" customHeight="1">
      <c r="A53" s="57"/>
      <c r="B53" s="101">
        <v>30.0</v>
      </c>
      <c r="C53" s="98">
        <v>0.3125</v>
      </c>
      <c r="D53" s="98">
        <v>0.5</v>
      </c>
      <c r="E53" s="98">
        <v>0.5416666666666666</v>
      </c>
      <c r="F53" s="98">
        <v>0.7083333333333334</v>
      </c>
      <c r="G53" s="99">
        <f t="shared" si="11"/>
        <v>0.3541666667</v>
      </c>
      <c r="H53" s="57"/>
      <c r="I53" s="72">
        <v>16.0</v>
      </c>
      <c r="J53" s="73">
        <v>0.32083333333333336</v>
      </c>
      <c r="K53" s="73">
        <v>0.5</v>
      </c>
      <c r="L53" s="73">
        <v>0.5416666666666666</v>
      </c>
      <c r="M53" s="73">
        <v>0.7083333333333334</v>
      </c>
      <c r="N53" s="74">
        <f t="shared" si="8"/>
        <v>0.3458333333</v>
      </c>
      <c r="O53" s="57"/>
      <c r="P53" s="102">
        <v>12.0</v>
      </c>
      <c r="Q53" s="103">
        <v>0.29305555555555557</v>
      </c>
      <c r="R53" s="103">
        <v>0.5</v>
      </c>
      <c r="S53" s="103">
        <v>0.5416666666666666</v>
      </c>
      <c r="T53" s="103">
        <v>0.7083333333333334</v>
      </c>
      <c r="U53" s="104">
        <f t="shared" si="9"/>
        <v>0.3736111111</v>
      </c>
      <c r="V53" s="57"/>
      <c r="W53" s="100">
        <v>11.0</v>
      </c>
      <c r="X53" s="91"/>
      <c r="Y53" s="91"/>
      <c r="Z53" s="91"/>
      <c r="AA53" s="91"/>
      <c r="AB53" s="79">
        <f t="shared" si="10"/>
        <v>0</v>
      </c>
      <c r="AC53" s="23"/>
      <c r="AD53" s="23"/>
      <c r="AE53" s="23"/>
      <c r="AF53" s="23"/>
      <c r="AG53" s="105"/>
    </row>
    <row r="54" ht="14.25" customHeight="1">
      <c r="A54" s="57"/>
      <c r="B54" s="106" t="s">
        <v>17</v>
      </c>
      <c r="C54" s="4"/>
      <c r="D54" s="4"/>
      <c r="E54" s="4"/>
      <c r="F54" s="5"/>
      <c r="G54" s="107">
        <f>SUM(G52:G53)</f>
        <v>0.6875</v>
      </c>
      <c r="H54" s="57"/>
      <c r="I54" s="72">
        <v>17.0</v>
      </c>
      <c r="J54" s="73">
        <v>0.3159722222222222</v>
      </c>
      <c r="K54" s="73">
        <v>0.5</v>
      </c>
      <c r="L54" s="73">
        <v>0.5416666666666666</v>
      </c>
      <c r="M54" s="73">
        <v>0.7083333333333334</v>
      </c>
      <c r="N54" s="74">
        <f t="shared" si="8"/>
        <v>0.3506944444</v>
      </c>
      <c r="O54" s="57"/>
      <c r="P54" s="75">
        <v>13.0</v>
      </c>
      <c r="Q54" s="84">
        <v>0.2902777777777778</v>
      </c>
      <c r="R54" s="84">
        <v>0.5</v>
      </c>
      <c r="S54" s="84">
        <v>0.5416666666666666</v>
      </c>
      <c r="T54" s="84">
        <v>0.7083333333333334</v>
      </c>
      <c r="U54" s="74">
        <f t="shared" si="9"/>
        <v>0.3763888889</v>
      </c>
      <c r="V54" s="57"/>
      <c r="W54" s="100">
        <v>12.0</v>
      </c>
      <c r="X54" s="78"/>
      <c r="Y54" s="78"/>
      <c r="Z54" s="78"/>
      <c r="AA54" s="78"/>
      <c r="AB54" s="79">
        <f t="shared" si="10"/>
        <v>0</v>
      </c>
      <c r="AC54" s="23"/>
      <c r="AD54" s="23"/>
      <c r="AE54" s="23"/>
      <c r="AF54" s="23"/>
      <c r="AG54" s="105"/>
    </row>
    <row r="55" ht="14.25" customHeight="1">
      <c r="A55" s="57"/>
      <c r="B55" s="57"/>
      <c r="C55" s="108"/>
      <c r="D55" s="57"/>
      <c r="E55" s="57"/>
      <c r="F55" s="57"/>
      <c r="G55" s="57"/>
      <c r="H55" s="57"/>
      <c r="I55" s="109">
        <v>18.0</v>
      </c>
      <c r="J55" s="110">
        <v>0.3125</v>
      </c>
      <c r="K55" s="110">
        <v>0.5</v>
      </c>
      <c r="L55" s="110">
        <v>0.5416666666666666</v>
      </c>
      <c r="M55" s="110">
        <v>0.7083333333333334</v>
      </c>
      <c r="N55" s="111">
        <f t="shared" si="8"/>
        <v>0.3541666667</v>
      </c>
      <c r="O55" s="57"/>
      <c r="P55" s="75">
        <v>14.0</v>
      </c>
      <c r="Q55" s="90"/>
      <c r="R55" s="90"/>
      <c r="S55" s="90"/>
      <c r="T55" s="90"/>
      <c r="U55" s="74">
        <f t="shared" si="9"/>
        <v>0</v>
      </c>
      <c r="V55" s="57"/>
      <c r="W55" s="100">
        <v>13.0</v>
      </c>
      <c r="X55" s="78"/>
      <c r="Y55" s="78"/>
      <c r="Z55" s="78"/>
      <c r="AA55" s="78"/>
      <c r="AB55" s="79">
        <f t="shared" si="10"/>
        <v>0</v>
      </c>
      <c r="AC55" s="23"/>
      <c r="AD55" s="23"/>
      <c r="AE55" s="23"/>
      <c r="AH55" s="23"/>
      <c r="AI55" s="23"/>
      <c r="AJ55" s="23"/>
      <c r="AK55" s="23"/>
      <c r="AL55" s="23"/>
    </row>
    <row r="56" ht="14.25" customHeight="1">
      <c r="A56" s="57"/>
      <c r="B56" s="112"/>
      <c r="H56" s="57"/>
      <c r="I56" s="72">
        <v>19.0</v>
      </c>
      <c r="J56" s="73">
        <v>0.325</v>
      </c>
      <c r="K56" s="73">
        <v>0.5</v>
      </c>
      <c r="L56" s="73">
        <v>0.5416666666666666</v>
      </c>
      <c r="M56" s="73">
        <v>0.7083333333333334</v>
      </c>
      <c r="N56" s="74">
        <f t="shared" si="8"/>
        <v>0.3416666667</v>
      </c>
      <c r="O56" s="57"/>
      <c r="P56" s="75">
        <v>15.0</v>
      </c>
      <c r="Q56" s="84">
        <v>0.2916666666666667</v>
      </c>
      <c r="R56" s="84">
        <v>0.5</v>
      </c>
      <c r="S56" s="84">
        <v>0.5416666666666666</v>
      </c>
      <c r="T56" s="84">
        <v>0.7083333333333334</v>
      </c>
      <c r="U56" s="74">
        <f t="shared" si="9"/>
        <v>0.375</v>
      </c>
      <c r="V56" s="57"/>
      <c r="W56" s="100">
        <v>14.0</v>
      </c>
      <c r="X56" s="78"/>
      <c r="Y56" s="78"/>
      <c r="Z56" s="78"/>
      <c r="AA56" s="78"/>
      <c r="AB56" s="79">
        <f t="shared" si="10"/>
        <v>0</v>
      </c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ht="14.25" customHeight="1">
      <c r="A57" s="57"/>
      <c r="B57" s="58" t="s">
        <v>26</v>
      </c>
      <c r="C57" s="30"/>
      <c r="D57" s="30"/>
      <c r="E57" s="30"/>
      <c r="F57" s="30"/>
      <c r="G57" s="31"/>
      <c r="H57" s="57"/>
      <c r="I57" s="72">
        <v>20.0</v>
      </c>
      <c r="J57" s="73">
        <v>0.3194444444444444</v>
      </c>
      <c r="K57" s="73">
        <v>0.5</v>
      </c>
      <c r="L57" s="73">
        <v>0.59375</v>
      </c>
      <c r="M57" s="73">
        <v>0.7083333333333334</v>
      </c>
      <c r="N57" s="74">
        <f t="shared" si="8"/>
        <v>0.2951388889</v>
      </c>
      <c r="O57" s="57"/>
      <c r="P57" s="75">
        <v>16.0</v>
      </c>
      <c r="Q57" s="84">
        <v>0.31666666666666665</v>
      </c>
      <c r="R57" s="84">
        <v>0.5</v>
      </c>
      <c r="S57" s="84">
        <v>0.5416666666666666</v>
      </c>
      <c r="T57" s="84">
        <v>0.7083333333333334</v>
      </c>
      <c r="U57" s="74">
        <f t="shared" si="9"/>
        <v>0.35</v>
      </c>
      <c r="V57" s="57"/>
      <c r="W57" s="100">
        <v>15.0</v>
      </c>
      <c r="X57" s="78"/>
      <c r="Y57" s="78"/>
      <c r="Z57" s="78"/>
      <c r="AA57" s="78"/>
      <c r="AB57" s="79">
        <f t="shared" si="10"/>
        <v>0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ht="14.25" customHeight="1">
      <c r="A58" s="57"/>
      <c r="B58" s="33"/>
      <c r="C58" s="34"/>
      <c r="D58" s="34"/>
      <c r="E58" s="34"/>
      <c r="F58" s="34"/>
      <c r="G58" s="35"/>
      <c r="H58" s="57"/>
      <c r="I58" s="72">
        <v>22.0</v>
      </c>
      <c r="J58" s="73">
        <v>0.3125</v>
      </c>
      <c r="K58" s="73">
        <v>0.5</v>
      </c>
      <c r="L58" s="73">
        <v>0.5416666666666666</v>
      </c>
      <c r="M58" s="73">
        <v>0.7083333333333334</v>
      </c>
      <c r="N58" s="74">
        <f t="shared" si="8"/>
        <v>0.3541666667</v>
      </c>
      <c r="O58" s="57"/>
      <c r="P58" s="75">
        <v>17.0</v>
      </c>
      <c r="Q58" s="90"/>
      <c r="R58" s="90"/>
      <c r="S58" s="90"/>
      <c r="T58" s="90"/>
      <c r="U58" s="74">
        <f t="shared" si="9"/>
        <v>0</v>
      </c>
      <c r="V58" s="57"/>
      <c r="W58" s="100">
        <v>16.0</v>
      </c>
      <c r="X58" s="78"/>
      <c r="Y58" s="78"/>
      <c r="Z58" s="78"/>
      <c r="AA58" s="78"/>
      <c r="AB58" s="79">
        <f t="shared" si="10"/>
        <v>0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ht="14.25" customHeight="1">
      <c r="A59" s="57"/>
      <c r="B59" s="113">
        <v>20.25</v>
      </c>
      <c r="C59" s="82"/>
      <c r="D59" s="82"/>
      <c r="E59" s="82"/>
      <c r="F59" s="82"/>
      <c r="G59" s="83"/>
      <c r="I59" s="72">
        <v>23.0</v>
      </c>
      <c r="J59" s="73">
        <v>0.3263888888888889</v>
      </c>
      <c r="K59" s="73">
        <v>0.5</v>
      </c>
      <c r="L59" s="73">
        <v>0.5416666666666666</v>
      </c>
      <c r="M59" s="73">
        <v>0.7083333333333334</v>
      </c>
      <c r="N59" s="74">
        <f t="shared" si="8"/>
        <v>0.3402777778</v>
      </c>
      <c r="O59" s="57"/>
      <c r="P59" s="75">
        <v>18.0</v>
      </c>
      <c r="Q59" s="90"/>
      <c r="R59" s="90"/>
      <c r="S59" s="90"/>
      <c r="T59" s="90"/>
      <c r="U59" s="74">
        <f t="shared" si="9"/>
        <v>0</v>
      </c>
      <c r="V59" s="57"/>
      <c r="W59" s="100">
        <v>17.0</v>
      </c>
      <c r="X59" s="78"/>
      <c r="Y59" s="78"/>
      <c r="Z59" s="78"/>
      <c r="AA59" s="78"/>
      <c r="AB59" s="79">
        <f t="shared" si="10"/>
        <v>0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ht="14.25" customHeight="1">
      <c r="A60" s="57"/>
      <c r="B60" s="85"/>
      <c r="G60" s="86"/>
      <c r="I60" s="72">
        <v>24.0</v>
      </c>
      <c r="J60" s="73">
        <v>0.29305555555555557</v>
      </c>
      <c r="K60" s="73">
        <v>0.5</v>
      </c>
      <c r="L60" s="73">
        <v>0.5416666666666666</v>
      </c>
      <c r="M60" s="73">
        <v>0.7083333333333334</v>
      </c>
      <c r="N60" s="74">
        <f t="shared" si="8"/>
        <v>0.3736111111</v>
      </c>
      <c r="O60" s="57"/>
      <c r="P60" s="75">
        <v>19.0</v>
      </c>
      <c r="Q60" s="84">
        <v>0.28194444444444444</v>
      </c>
      <c r="R60" s="84">
        <v>0.5</v>
      </c>
      <c r="S60" s="84">
        <v>0.5416666666666666</v>
      </c>
      <c r="T60" s="84">
        <v>0.7083333333333334</v>
      </c>
      <c r="U60" s="74">
        <f t="shared" si="9"/>
        <v>0.3847222222</v>
      </c>
      <c r="V60" s="57"/>
      <c r="W60" s="100">
        <v>18.0</v>
      </c>
      <c r="X60" s="78"/>
      <c r="Y60" s="78"/>
      <c r="Z60" s="78"/>
      <c r="AA60" s="78"/>
      <c r="AB60" s="79">
        <f t="shared" si="10"/>
        <v>0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ht="14.25" customHeight="1">
      <c r="A61" s="57"/>
      <c r="B61" s="85"/>
      <c r="G61" s="86"/>
      <c r="I61" s="72">
        <v>25.0</v>
      </c>
      <c r="J61" s="73">
        <v>0.2916666666666667</v>
      </c>
      <c r="K61" s="73">
        <v>0.5</v>
      </c>
      <c r="L61" s="73">
        <v>0.5416666666666666</v>
      </c>
      <c r="M61" s="73">
        <v>0.7083333333333334</v>
      </c>
      <c r="N61" s="74">
        <f t="shared" si="8"/>
        <v>0.375</v>
      </c>
      <c r="O61" s="57"/>
      <c r="P61" s="75">
        <v>20.0</v>
      </c>
      <c r="Q61" s="84">
        <v>0.2916666666666667</v>
      </c>
      <c r="R61" s="84">
        <v>0.5</v>
      </c>
      <c r="S61" s="84">
        <v>0.5416666666666666</v>
      </c>
      <c r="T61" s="84">
        <v>0.7083333333333334</v>
      </c>
      <c r="U61" s="74">
        <f t="shared" si="9"/>
        <v>0.375</v>
      </c>
      <c r="V61" s="57"/>
      <c r="W61" s="100">
        <v>19.0</v>
      </c>
      <c r="X61" s="78"/>
      <c r="Y61" s="78"/>
      <c r="Z61" s="78"/>
      <c r="AA61" s="78"/>
      <c r="AB61" s="79">
        <f t="shared" si="10"/>
        <v>0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ht="14.25" customHeight="1">
      <c r="A62" s="57"/>
      <c r="B62" s="87"/>
      <c r="C62" s="88"/>
      <c r="D62" s="88"/>
      <c r="E62" s="88"/>
      <c r="F62" s="88"/>
      <c r="G62" s="89"/>
      <c r="I62" s="72">
        <v>26.0</v>
      </c>
      <c r="J62" s="73">
        <v>0.2916666666666667</v>
      </c>
      <c r="K62" s="73">
        <v>0.5</v>
      </c>
      <c r="L62" s="73">
        <v>0.5416666666666666</v>
      </c>
      <c r="M62" s="73">
        <v>0.7083333333333334</v>
      </c>
      <c r="N62" s="74">
        <f t="shared" si="8"/>
        <v>0.375</v>
      </c>
      <c r="O62" s="57"/>
      <c r="P62" s="75">
        <v>21.0</v>
      </c>
      <c r="Q62" s="90"/>
      <c r="R62" s="90"/>
      <c r="S62" s="90"/>
      <c r="T62" s="90"/>
      <c r="U62" s="74">
        <f t="shared" si="9"/>
        <v>0</v>
      </c>
      <c r="V62" s="57"/>
      <c r="W62" s="100">
        <v>20.0</v>
      </c>
      <c r="X62" s="78"/>
      <c r="Y62" s="78"/>
      <c r="Z62" s="78"/>
      <c r="AA62" s="78"/>
      <c r="AB62" s="79">
        <f t="shared" si="10"/>
        <v>0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ht="14.25" customHeight="1">
      <c r="A63" s="57"/>
      <c r="I63" s="72">
        <v>27.0</v>
      </c>
      <c r="J63" s="73">
        <v>0.2916666666666667</v>
      </c>
      <c r="K63" s="73">
        <v>0.5</v>
      </c>
      <c r="L63" s="73">
        <v>0.5416666666666666</v>
      </c>
      <c r="M63" s="73">
        <v>0.7083333333333334</v>
      </c>
      <c r="N63" s="74">
        <f t="shared" si="8"/>
        <v>0.375</v>
      </c>
      <c r="O63" s="57"/>
      <c r="P63" s="75">
        <v>22.0</v>
      </c>
      <c r="Q63" s="76"/>
      <c r="R63" s="76"/>
      <c r="S63" s="76"/>
      <c r="T63" s="76"/>
      <c r="U63" s="74">
        <f t="shared" si="9"/>
        <v>0</v>
      </c>
      <c r="V63" s="57"/>
      <c r="W63" s="100">
        <v>21.0</v>
      </c>
      <c r="X63" s="78"/>
      <c r="Y63" s="78"/>
      <c r="Z63" s="78"/>
      <c r="AA63" s="78"/>
      <c r="AB63" s="79">
        <f t="shared" si="10"/>
        <v>0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ht="14.25" customHeight="1">
      <c r="A64" s="57"/>
      <c r="B64" s="58" t="s">
        <v>27</v>
      </c>
      <c r="C64" s="30"/>
      <c r="D64" s="30"/>
      <c r="E64" s="30"/>
      <c r="F64" s="30"/>
      <c r="G64" s="31"/>
      <c r="I64" s="90"/>
      <c r="J64" s="76"/>
      <c r="K64" s="76"/>
      <c r="L64" s="76"/>
      <c r="M64" s="76"/>
      <c r="N64" s="74">
        <f t="shared" si="8"/>
        <v>0</v>
      </c>
      <c r="O64" s="57"/>
      <c r="P64" s="72">
        <v>23.0</v>
      </c>
      <c r="Q64" s="84">
        <v>0.2986111111111111</v>
      </c>
      <c r="R64" s="84">
        <v>0.5</v>
      </c>
      <c r="S64" s="84">
        <v>0.5416666666666666</v>
      </c>
      <c r="T64" s="84">
        <v>0.7083333333333334</v>
      </c>
      <c r="U64" s="74">
        <f t="shared" si="9"/>
        <v>0.3680555556</v>
      </c>
      <c r="V64" s="57"/>
      <c r="W64" s="77">
        <v>22.0</v>
      </c>
      <c r="X64" s="78"/>
      <c r="Y64" s="78"/>
      <c r="Z64" s="78"/>
      <c r="AA64" s="78"/>
      <c r="AB64" s="79">
        <f t="shared" si="10"/>
        <v>0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ht="14.25" customHeight="1">
      <c r="A65" s="57"/>
      <c r="B65" s="33"/>
      <c r="C65" s="34"/>
      <c r="D65" s="34"/>
      <c r="E65" s="34"/>
      <c r="F65" s="34"/>
      <c r="G65" s="35"/>
      <c r="H65" s="57"/>
      <c r="I65" s="114" t="s">
        <v>17</v>
      </c>
      <c r="J65" s="4"/>
      <c r="K65" s="4"/>
      <c r="L65" s="4"/>
      <c r="M65" s="5"/>
      <c r="N65" s="68">
        <f>SUM(N43:N64)</f>
        <v>7.323611111</v>
      </c>
      <c r="O65" s="57"/>
      <c r="P65" s="72">
        <v>24.0</v>
      </c>
      <c r="Q65" s="84">
        <v>0.2916666666666667</v>
      </c>
      <c r="R65" s="84">
        <v>0.5</v>
      </c>
      <c r="S65" s="84">
        <v>0.5416666666666666</v>
      </c>
      <c r="T65" s="84">
        <v>0.7083333333333334</v>
      </c>
      <c r="U65" s="79">
        <f t="shared" si="9"/>
        <v>0.375</v>
      </c>
      <c r="V65" s="57"/>
      <c r="W65" s="77">
        <v>23.0</v>
      </c>
      <c r="X65" s="78"/>
      <c r="Y65" s="78"/>
      <c r="Z65" s="78"/>
      <c r="AA65" s="78"/>
      <c r="AB65" s="79">
        <f t="shared" si="10"/>
        <v>0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</row>
    <row r="66" ht="14.25" customHeight="1">
      <c r="A66" s="57"/>
      <c r="B66" s="115">
        <f>B59-B44</f>
        <v>1.779861111</v>
      </c>
      <c r="G66" s="86"/>
      <c r="H66" s="57"/>
      <c r="I66" s="57"/>
      <c r="J66" s="57"/>
      <c r="K66" s="57"/>
      <c r="L66" s="57"/>
      <c r="M66" s="57"/>
      <c r="N66" s="57"/>
      <c r="O66" s="57"/>
      <c r="P66" s="72">
        <v>25.0</v>
      </c>
      <c r="Q66" s="73">
        <v>0.3013888888888889</v>
      </c>
      <c r="R66" s="84">
        <v>0.5</v>
      </c>
      <c r="S66" s="84">
        <v>0.5416666666666666</v>
      </c>
      <c r="T66" s="84">
        <v>0.7083333333333334</v>
      </c>
      <c r="U66" s="79">
        <f t="shared" si="9"/>
        <v>0.3652777778</v>
      </c>
      <c r="V66" s="57"/>
      <c r="W66" s="77">
        <v>24.0</v>
      </c>
      <c r="X66" s="78"/>
      <c r="Y66" s="78"/>
      <c r="Z66" s="78"/>
      <c r="AA66" s="78"/>
      <c r="AB66" s="79">
        <f t="shared" si="10"/>
        <v>0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</row>
    <row r="67" ht="14.25" customHeight="1">
      <c r="A67" s="57"/>
      <c r="B67" s="85"/>
      <c r="G67" s="86"/>
      <c r="H67" s="57"/>
      <c r="I67" s="116" t="str">
        <f>REPT("█", ROUND((B44/B59)*10,0)) &amp; REPT("░", 10-ROUND((B44/B59)*10,0)) &amp; "  " &amp; TEXT(B44/B59, "0.00%")</f>
        <v>█████████░  91.21%</v>
      </c>
      <c r="J67" s="30"/>
      <c r="K67" s="30"/>
      <c r="L67" s="30"/>
      <c r="M67" s="30"/>
      <c r="N67" s="31"/>
      <c r="O67" s="57"/>
      <c r="P67" s="72">
        <v>26.0</v>
      </c>
      <c r="Q67" s="84">
        <v>0.2916666666666667</v>
      </c>
      <c r="R67" s="84">
        <v>0.5</v>
      </c>
      <c r="S67" s="84">
        <v>0.5416666666666666</v>
      </c>
      <c r="T67" s="84">
        <v>0.7083333333333334</v>
      </c>
      <c r="U67" s="79">
        <f t="shared" si="9"/>
        <v>0.375</v>
      </c>
      <c r="V67" s="57"/>
      <c r="W67" s="77">
        <v>25.0</v>
      </c>
      <c r="X67" s="78"/>
      <c r="Y67" s="78"/>
      <c r="Z67" s="78"/>
      <c r="AA67" s="78"/>
      <c r="AB67" s="79">
        <f t="shared" si="10"/>
        <v>0</v>
      </c>
      <c r="AC67" s="23"/>
      <c r="AD67" s="23"/>
      <c r="AE67" s="23"/>
      <c r="AF67" s="23"/>
      <c r="AG67" s="23"/>
      <c r="AH67" s="23"/>
      <c r="AI67" s="23"/>
      <c r="AJ67" s="23"/>
      <c r="AK67" s="23"/>
      <c r="AL67" s="23"/>
    </row>
    <row r="68" ht="14.25" customHeight="1">
      <c r="B68" s="85"/>
      <c r="G68" s="86"/>
      <c r="H68" s="57"/>
      <c r="I68" s="33"/>
      <c r="J68" s="34"/>
      <c r="K68" s="34"/>
      <c r="L68" s="34"/>
      <c r="M68" s="34"/>
      <c r="N68" s="35"/>
      <c r="O68" s="57"/>
      <c r="P68" s="72">
        <v>27.0</v>
      </c>
      <c r="Q68" s="84">
        <v>0.2916666666666667</v>
      </c>
      <c r="R68" s="84">
        <v>0.5</v>
      </c>
      <c r="S68" s="84">
        <v>0.5416666666666666</v>
      </c>
      <c r="T68" s="84">
        <v>0.7083333333333334</v>
      </c>
      <c r="U68" s="79">
        <f t="shared" si="9"/>
        <v>0.375</v>
      </c>
      <c r="V68" s="57"/>
      <c r="W68" s="77">
        <v>26.0</v>
      </c>
      <c r="X68" s="78"/>
      <c r="Y68" s="78"/>
      <c r="Z68" s="78"/>
      <c r="AA68" s="78"/>
      <c r="AB68" s="79">
        <f t="shared" si="10"/>
        <v>0</v>
      </c>
      <c r="AC68" s="23"/>
      <c r="AD68" s="23"/>
      <c r="AE68" s="23"/>
      <c r="AF68" s="23"/>
      <c r="AG68" s="23"/>
      <c r="AH68" s="23"/>
      <c r="AI68" s="23"/>
      <c r="AJ68" s="23"/>
      <c r="AK68" s="23"/>
      <c r="AL68" s="23"/>
    </row>
    <row r="69" ht="14.25" customHeight="1">
      <c r="B69" s="87"/>
      <c r="C69" s="88"/>
      <c r="D69" s="88"/>
      <c r="E69" s="88"/>
      <c r="F69" s="88"/>
      <c r="G69" s="89"/>
      <c r="H69" s="57"/>
      <c r="O69" s="57"/>
      <c r="P69" s="72">
        <v>28.0</v>
      </c>
      <c r="Q69" s="78"/>
      <c r="R69" s="78"/>
      <c r="S69" s="78"/>
      <c r="T69" s="78"/>
      <c r="U69" s="79">
        <f t="shared" si="9"/>
        <v>0</v>
      </c>
      <c r="V69" s="57"/>
      <c r="W69" s="77">
        <v>27.0</v>
      </c>
      <c r="X69" s="78"/>
      <c r="Y69" s="78"/>
      <c r="Z69" s="78"/>
      <c r="AA69" s="78"/>
      <c r="AB69" s="79">
        <f t="shared" si="10"/>
        <v>0</v>
      </c>
      <c r="AC69" s="23"/>
      <c r="AD69" s="23"/>
      <c r="AE69" s="23"/>
      <c r="AF69" s="23"/>
      <c r="AG69" s="23"/>
      <c r="AH69" s="23"/>
      <c r="AI69" s="23"/>
      <c r="AJ69" s="23"/>
      <c r="AK69" s="23"/>
      <c r="AL69" s="23"/>
    </row>
    <row r="70" ht="14.25" customHeight="1">
      <c r="P70" s="72">
        <v>29.0</v>
      </c>
      <c r="Q70" s="78"/>
      <c r="R70" s="78"/>
      <c r="S70" s="78"/>
      <c r="T70" s="78"/>
      <c r="U70" s="79">
        <f t="shared" si="9"/>
        <v>0</v>
      </c>
      <c r="W70" s="77">
        <v>28.0</v>
      </c>
      <c r="X70" s="78"/>
      <c r="Y70" s="78"/>
      <c r="Z70" s="78"/>
      <c r="AA70" s="78"/>
      <c r="AB70" s="79">
        <f t="shared" si="10"/>
        <v>0</v>
      </c>
      <c r="AC70" s="23"/>
      <c r="AD70" s="23"/>
      <c r="AE70" s="23"/>
      <c r="AF70" s="23"/>
      <c r="AG70" s="23"/>
      <c r="AH70" s="23"/>
      <c r="AI70" s="23"/>
      <c r="AJ70" s="23"/>
      <c r="AK70" s="23"/>
      <c r="AL70" s="23"/>
    </row>
    <row r="71" ht="14.25" customHeight="1">
      <c r="P71" s="72">
        <v>30.0</v>
      </c>
      <c r="Q71" s="84">
        <v>0.2916666666666667</v>
      </c>
      <c r="R71" s="84">
        <v>0.5</v>
      </c>
      <c r="S71" s="84">
        <v>0.5416666666666666</v>
      </c>
      <c r="T71" s="84">
        <v>0.7083333333333334</v>
      </c>
      <c r="U71" s="79">
        <f t="shared" si="9"/>
        <v>0.375</v>
      </c>
      <c r="W71" s="77">
        <v>29.0</v>
      </c>
      <c r="X71" s="78"/>
      <c r="Y71" s="78"/>
      <c r="Z71" s="78"/>
      <c r="AA71" s="78"/>
      <c r="AB71" s="79">
        <f t="shared" si="10"/>
        <v>0</v>
      </c>
      <c r="AC71" s="23"/>
      <c r="AD71" s="23"/>
      <c r="AE71" s="23"/>
      <c r="AF71" s="23"/>
      <c r="AG71" s="23"/>
      <c r="AH71" s="23"/>
      <c r="AI71" s="23"/>
      <c r="AJ71" s="23"/>
      <c r="AK71" s="23"/>
      <c r="AL71" s="23"/>
    </row>
    <row r="72" ht="14.25" customHeight="1">
      <c r="C72" s="55"/>
      <c r="P72" s="72">
        <v>31.0</v>
      </c>
      <c r="Q72" s="117">
        <v>0.2916666666666667</v>
      </c>
      <c r="R72" s="117">
        <v>0.5</v>
      </c>
      <c r="S72" s="117">
        <v>0.5416666666666666</v>
      </c>
      <c r="T72" s="117">
        <v>0.7083333333333334</v>
      </c>
      <c r="U72" s="79">
        <f t="shared" si="9"/>
        <v>0.375</v>
      </c>
      <c r="W72" s="77">
        <v>30.0</v>
      </c>
      <c r="X72" s="78"/>
      <c r="Y72" s="78"/>
      <c r="Z72" s="78"/>
      <c r="AA72" s="78"/>
      <c r="AB72" s="79">
        <f t="shared" si="10"/>
        <v>0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</row>
    <row r="73" ht="14.25" customHeight="1">
      <c r="E73" s="55" t="s">
        <v>28</v>
      </c>
      <c r="P73" s="118" t="s">
        <v>17</v>
      </c>
      <c r="Q73" s="4"/>
      <c r="R73" s="4"/>
      <c r="S73" s="4"/>
      <c r="T73" s="5"/>
      <c r="U73" s="68">
        <f>SUM(U43:U72)</f>
        <v>8.193055556</v>
      </c>
      <c r="W73" s="119" t="s">
        <v>17</v>
      </c>
      <c r="X73" s="4"/>
      <c r="Y73" s="4"/>
      <c r="Z73" s="4"/>
      <c r="AA73" s="5"/>
      <c r="AB73" s="120">
        <f>SUM(AB43:AB72)</f>
        <v>2.265972222</v>
      </c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81">
        <f>SUM(U57:U72)</f>
        <v>3.718055556</v>
      </c>
      <c r="D74" s="82"/>
      <c r="E74" s="82"/>
      <c r="F74" s="82"/>
      <c r="G74" s="82"/>
      <c r="H74" s="83"/>
      <c r="P74" s="105" t="s">
        <v>29</v>
      </c>
    </row>
    <row r="75" ht="14.25" customHeight="1">
      <c r="C75" s="85"/>
      <c r="H75" s="86"/>
      <c r="P75" s="105" t="s">
        <v>30</v>
      </c>
    </row>
    <row r="76" ht="14.25" customHeight="1">
      <c r="C76" s="85"/>
      <c r="H76" s="86"/>
      <c r="P76" s="55"/>
    </row>
    <row r="77" ht="14.25" customHeight="1">
      <c r="C77" s="87"/>
      <c r="D77" s="88"/>
      <c r="E77" s="88"/>
      <c r="F77" s="88"/>
      <c r="G77" s="88"/>
      <c r="H77" s="89"/>
    </row>
    <row r="78" ht="14.25" customHeight="1"/>
    <row r="79" ht="14.25" customHeight="1"/>
    <row r="80" ht="14.25" customHeight="1"/>
    <row r="81" ht="14.25" customHeight="1">
      <c r="I81" s="121" t="s">
        <v>31</v>
      </c>
      <c r="J81" s="122" t="s">
        <v>15</v>
      </c>
      <c r="K81" s="4"/>
      <c r="L81" s="4"/>
      <c r="M81" s="5"/>
      <c r="N81" s="121" t="s">
        <v>10</v>
      </c>
      <c r="P81" s="121" t="s">
        <v>31</v>
      </c>
      <c r="Q81" s="122" t="s">
        <v>18</v>
      </c>
      <c r="R81" s="4"/>
      <c r="S81" s="4"/>
      <c r="T81" s="5"/>
      <c r="U81" s="121" t="s">
        <v>10</v>
      </c>
      <c r="W81" s="121" t="s">
        <v>31</v>
      </c>
      <c r="X81" s="122" t="s">
        <v>5</v>
      </c>
      <c r="Y81" s="4"/>
      <c r="Z81" s="4"/>
      <c r="AA81" s="5"/>
      <c r="AB81" s="121" t="s">
        <v>10</v>
      </c>
      <c r="AD81" s="123" t="s">
        <v>8</v>
      </c>
      <c r="AE81" s="124" t="s">
        <v>9</v>
      </c>
      <c r="AF81" s="124" t="s">
        <v>10</v>
      </c>
    </row>
    <row r="82" ht="14.25" customHeight="1">
      <c r="I82" s="10"/>
      <c r="J82" s="122" t="s">
        <v>32</v>
      </c>
      <c r="K82" s="5"/>
      <c r="L82" s="122" t="s">
        <v>33</v>
      </c>
      <c r="M82" s="5"/>
      <c r="N82" s="10"/>
      <c r="P82" s="10"/>
      <c r="Q82" s="122" t="s">
        <v>32</v>
      </c>
      <c r="R82" s="5"/>
      <c r="S82" s="122" t="s">
        <v>33</v>
      </c>
      <c r="T82" s="5"/>
      <c r="U82" s="10"/>
      <c r="W82" s="10"/>
      <c r="X82" s="122" t="s">
        <v>32</v>
      </c>
      <c r="Y82" s="5"/>
      <c r="Z82" s="122" t="s">
        <v>33</v>
      </c>
      <c r="AA82" s="5"/>
      <c r="AB82" s="10"/>
      <c r="AD82" s="125" t="s">
        <v>13</v>
      </c>
      <c r="AE82" s="126" t="s">
        <v>14</v>
      </c>
      <c r="AF82" s="127">
        <f>sum(G94:G95)</f>
        <v>0.6875</v>
      </c>
    </row>
    <row r="83" ht="14.25" customHeight="1">
      <c r="I83" s="13"/>
      <c r="J83" s="128" t="s">
        <v>34</v>
      </c>
      <c r="K83" s="128" t="s">
        <v>35</v>
      </c>
      <c r="L83" s="128" t="s">
        <v>34</v>
      </c>
      <c r="M83" s="128" t="s">
        <v>35</v>
      </c>
      <c r="N83" s="13"/>
      <c r="P83" s="13"/>
      <c r="Q83" s="128" t="s">
        <v>34</v>
      </c>
      <c r="R83" s="128" t="s">
        <v>35</v>
      </c>
      <c r="S83" s="128" t="s">
        <v>34</v>
      </c>
      <c r="T83" s="128" t="s">
        <v>35</v>
      </c>
      <c r="U83" s="13"/>
      <c r="W83" s="13"/>
      <c r="X83" s="128" t="s">
        <v>34</v>
      </c>
      <c r="Y83" s="128" t="s">
        <v>35</v>
      </c>
      <c r="Z83" s="128" t="s">
        <v>34</v>
      </c>
      <c r="AA83" s="128" t="s">
        <v>35</v>
      </c>
      <c r="AB83" s="13"/>
      <c r="AD83" s="125" t="s">
        <v>15</v>
      </c>
      <c r="AE83" s="129">
        <v>46037.0</v>
      </c>
      <c r="AF83" s="127">
        <f>sum(N84:N93)</f>
        <v>3.396527778</v>
      </c>
    </row>
    <row r="84" ht="14.25" customHeight="1">
      <c r="B84" s="130" t="s">
        <v>36</v>
      </c>
      <c r="C84" s="30"/>
      <c r="D84" s="30"/>
      <c r="E84" s="30"/>
      <c r="F84" s="30"/>
      <c r="G84" s="31"/>
      <c r="I84" s="131">
        <v>2.0</v>
      </c>
      <c r="J84" s="132">
        <v>0.30972222222222223</v>
      </c>
      <c r="K84" s="132">
        <v>0.5</v>
      </c>
      <c r="L84" s="132">
        <v>0.5416666666666666</v>
      </c>
      <c r="M84" s="132">
        <v>0.7083333333333334</v>
      </c>
      <c r="N84" s="133">
        <f t="shared" ref="N84:N105" si="12">SUM(K84-J84)+(M84-L84)</f>
        <v>0.3569444444</v>
      </c>
      <c r="P84" s="134">
        <v>2.0</v>
      </c>
      <c r="Q84" s="135">
        <v>0.3298611111111111</v>
      </c>
      <c r="R84" s="132">
        <v>0.5</v>
      </c>
      <c r="S84" s="132">
        <v>0.5416666666666666</v>
      </c>
      <c r="T84" s="132">
        <v>0.7083333333333334</v>
      </c>
      <c r="U84" s="133">
        <f t="shared" ref="U84:U113" si="13">SUM(R84-Q84)+(T84-S84)</f>
        <v>0.3368055556</v>
      </c>
      <c r="W84" s="136">
        <v>1.0</v>
      </c>
      <c r="X84" s="135">
        <v>0.28541666666666665</v>
      </c>
      <c r="Y84" s="132">
        <v>0.5</v>
      </c>
      <c r="Z84" s="132"/>
      <c r="AA84" s="132"/>
      <c r="AB84" s="133">
        <f t="shared" ref="AB84:AB113" si="14">SUM(Y84-X84)+(AA84-Z84)</f>
        <v>0.2145833333</v>
      </c>
      <c r="AD84" s="125" t="s">
        <v>15</v>
      </c>
      <c r="AE84" s="126" t="s">
        <v>16</v>
      </c>
      <c r="AF84" s="127">
        <f>sum(N94:N105)</f>
        <v>3.413194444</v>
      </c>
    </row>
    <row r="85" ht="14.25" customHeight="1">
      <c r="B85" s="33"/>
      <c r="C85" s="34"/>
      <c r="D85" s="34"/>
      <c r="E85" s="34"/>
      <c r="F85" s="34"/>
      <c r="G85" s="35"/>
      <c r="I85" s="131">
        <v>3.0</v>
      </c>
      <c r="J85" s="132">
        <v>0.3284722222222222</v>
      </c>
      <c r="K85" s="132">
        <v>0.5</v>
      </c>
      <c r="L85" s="132">
        <v>0.5416666666666666</v>
      </c>
      <c r="M85" s="132">
        <v>0.7083333333333334</v>
      </c>
      <c r="N85" s="133">
        <f t="shared" si="12"/>
        <v>0.3381944444</v>
      </c>
      <c r="P85" s="134">
        <v>3.0</v>
      </c>
      <c r="Q85" s="132">
        <v>0.3194444444444444</v>
      </c>
      <c r="R85" s="132">
        <v>0.5</v>
      </c>
      <c r="S85" s="132">
        <v>0.5416666666666666</v>
      </c>
      <c r="T85" s="132">
        <v>0.7083333333333334</v>
      </c>
      <c r="U85" s="133">
        <f t="shared" si="13"/>
        <v>0.3472222222</v>
      </c>
      <c r="W85" s="136">
        <v>2.0</v>
      </c>
      <c r="X85" s="135">
        <v>0.2951388888888889</v>
      </c>
      <c r="Y85" s="135">
        <v>0.5</v>
      </c>
      <c r="Z85" s="135">
        <v>0.5416666666666666</v>
      </c>
      <c r="AA85" s="135">
        <v>0.7222222222222222</v>
      </c>
      <c r="AB85" s="133">
        <f t="shared" si="14"/>
        <v>0.3854166667</v>
      </c>
      <c r="AD85" s="125" t="s">
        <v>18</v>
      </c>
      <c r="AE85" s="129">
        <v>46037.0</v>
      </c>
      <c r="AF85" s="127">
        <f>sum(U84:U97)</f>
        <v>4.204861111</v>
      </c>
    </row>
    <row r="86" ht="14.25" customHeight="1">
      <c r="B86" s="137">
        <f>SUM(G96+N106+U114+AB114)</f>
        <v>17.90138889</v>
      </c>
      <c r="C86" s="30"/>
      <c r="D86" s="30"/>
      <c r="E86" s="30"/>
      <c r="F86" s="30"/>
      <c r="G86" s="31"/>
      <c r="I86" s="131">
        <v>4.0</v>
      </c>
      <c r="J86" s="132">
        <v>0.3229166666666667</v>
      </c>
      <c r="K86" s="132">
        <v>0.5</v>
      </c>
      <c r="L86" s="132">
        <v>0.5416666666666666</v>
      </c>
      <c r="M86" s="132">
        <v>0.7083333333333334</v>
      </c>
      <c r="N86" s="133">
        <f t="shared" si="12"/>
        <v>0.34375</v>
      </c>
      <c r="P86" s="134">
        <v>4.0</v>
      </c>
      <c r="Q86" s="138">
        <v>0.33125</v>
      </c>
      <c r="R86" s="135">
        <v>0.5</v>
      </c>
      <c r="S86" s="135">
        <v>0.5416666666666666</v>
      </c>
      <c r="T86" s="135">
        <v>0.7083333333333334</v>
      </c>
      <c r="U86" s="133">
        <f t="shared" si="13"/>
        <v>0.3354166667</v>
      </c>
      <c r="W86" s="136">
        <v>3.0</v>
      </c>
      <c r="X86" s="132">
        <v>0.3333333333333333</v>
      </c>
      <c r="Y86" s="132">
        <v>0.5</v>
      </c>
      <c r="Z86" s="132">
        <v>0.5416666666666666</v>
      </c>
      <c r="AA86" s="135">
        <v>0.7083333333333334</v>
      </c>
      <c r="AB86" s="133">
        <f t="shared" si="14"/>
        <v>0.3333333333</v>
      </c>
      <c r="AD86" s="125" t="s">
        <v>18</v>
      </c>
      <c r="AE86" s="126" t="s">
        <v>19</v>
      </c>
      <c r="AF86" s="127">
        <f>sum(U98:U113)</f>
        <v>3.353472222</v>
      </c>
    </row>
    <row r="87" ht="14.25" customHeight="1">
      <c r="B87" s="41"/>
      <c r="G87" s="42"/>
      <c r="I87" s="131">
        <v>5.0</v>
      </c>
      <c r="J87" s="132">
        <v>0.3263888888888889</v>
      </c>
      <c r="K87" s="132">
        <v>0.5</v>
      </c>
      <c r="L87" s="132">
        <v>0.5416666666666666</v>
      </c>
      <c r="M87" s="132">
        <v>0.7083333333333334</v>
      </c>
      <c r="N87" s="133">
        <f t="shared" si="12"/>
        <v>0.3402777778</v>
      </c>
      <c r="P87" s="134">
        <v>5.0</v>
      </c>
      <c r="Q87" s="132">
        <v>0.3333333333333333</v>
      </c>
      <c r="R87" s="132">
        <v>0.5</v>
      </c>
      <c r="S87" s="132">
        <v>0.5416666666666666</v>
      </c>
      <c r="T87" s="132">
        <v>0.7083333333333334</v>
      </c>
      <c r="U87" s="133">
        <f t="shared" si="13"/>
        <v>0.3333333333</v>
      </c>
      <c r="W87" s="136">
        <v>4.0</v>
      </c>
      <c r="X87" s="132"/>
      <c r="Y87" s="132"/>
      <c r="Z87" s="132"/>
      <c r="AA87" s="132"/>
      <c r="AB87" s="133">
        <f t="shared" si="14"/>
        <v>0</v>
      </c>
      <c r="AD87" s="125" t="s">
        <v>5</v>
      </c>
      <c r="AE87" s="129">
        <v>46037.0</v>
      </c>
      <c r="AF87" s="127">
        <f>sum(AB84:AB98)</f>
        <v>2.845833333</v>
      </c>
    </row>
    <row r="88" ht="14.25" customHeight="1">
      <c r="B88" s="41"/>
      <c r="G88" s="42"/>
      <c r="I88" s="131">
        <v>6.0</v>
      </c>
      <c r="J88" s="132">
        <v>0.3263888888888889</v>
      </c>
      <c r="K88" s="132">
        <v>0.5</v>
      </c>
      <c r="L88" s="132">
        <v>0.5416666666666666</v>
      </c>
      <c r="M88" s="132">
        <v>0.7083333333333334</v>
      </c>
      <c r="N88" s="133">
        <f t="shared" si="12"/>
        <v>0.3402777778</v>
      </c>
      <c r="P88" s="134">
        <v>6.0</v>
      </c>
      <c r="Q88" s="138">
        <v>0.32569444444444445</v>
      </c>
      <c r="R88" s="138">
        <v>0.4583333333333333</v>
      </c>
      <c r="S88" s="139"/>
      <c r="T88" s="139"/>
      <c r="U88" s="133">
        <f t="shared" si="13"/>
        <v>0.1326388889</v>
      </c>
      <c r="W88" s="136">
        <v>5.0</v>
      </c>
      <c r="X88" s="138"/>
      <c r="Y88" s="138"/>
      <c r="Z88" s="139"/>
      <c r="AA88" s="139"/>
      <c r="AB88" s="133">
        <f t="shared" si="14"/>
        <v>0</v>
      </c>
      <c r="AD88" s="125" t="s">
        <v>5</v>
      </c>
      <c r="AE88" s="126" t="s">
        <v>21</v>
      </c>
      <c r="AF88" s="127">
        <f>sum(AB99:AB113)</f>
        <v>0</v>
      </c>
    </row>
    <row r="89" ht="14.25" customHeight="1">
      <c r="B89" s="33"/>
      <c r="C89" s="34"/>
      <c r="D89" s="34"/>
      <c r="E89" s="34"/>
      <c r="F89" s="34"/>
      <c r="G89" s="35"/>
      <c r="I89" s="131">
        <v>10.0</v>
      </c>
      <c r="J89" s="132">
        <v>0.3284722222222222</v>
      </c>
      <c r="K89" s="132">
        <v>0.5</v>
      </c>
      <c r="L89" s="132">
        <v>0.5416666666666666</v>
      </c>
      <c r="M89" s="132">
        <v>0.7083333333333334</v>
      </c>
      <c r="N89" s="133">
        <f t="shared" si="12"/>
        <v>0.3381944444</v>
      </c>
      <c r="P89" s="134">
        <v>7.0</v>
      </c>
      <c r="Q89" s="138">
        <v>0.325</v>
      </c>
      <c r="R89" s="132">
        <v>0.5</v>
      </c>
      <c r="S89" s="132">
        <v>0.5416666666666666</v>
      </c>
      <c r="T89" s="132">
        <v>0.7083333333333334</v>
      </c>
      <c r="U89" s="133">
        <f t="shared" si="13"/>
        <v>0.3416666667</v>
      </c>
      <c r="W89" s="136">
        <v>6.0</v>
      </c>
      <c r="X89" s="140">
        <v>0.2951388888888889</v>
      </c>
      <c r="Y89" s="141">
        <v>0.5</v>
      </c>
      <c r="Z89" s="141">
        <v>0.5416666666666666</v>
      </c>
      <c r="AA89" s="142">
        <v>0.7083333333333334</v>
      </c>
      <c r="AB89" s="133">
        <f t="shared" si="14"/>
        <v>0.3715277778</v>
      </c>
      <c r="AD89" s="143"/>
      <c r="AE89" s="143"/>
      <c r="AF89" s="143"/>
    </row>
    <row r="90" ht="14.25" customHeight="1">
      <c r="I90" s="131">
        <v>11.0</v>
      </c>
      <c r="J90" s="132">
        <v>0.3333333333333333</v>
      </c>
      <c r="K90" s="132">
        <v>0.5</v>
      </c>
      <c r="L90" s="132">
        <v>0.5416666666666666</v>
      </c>
      <c r="M90" s="132">
        <v>0.7083333333333334</v>
      </c>
      <c r="N90" s="133">
        <f t="shared" si="12"/>
        <v>0.3333333333</v>
      </c>
      <c r="P90" s="134">
        <v>8.0</v>
      </c>
      <c r="Q90" s="138">
        <v>0.3194444444444444</v>
      </c>
      <c r="R90" s="132">
        <v>0.5</v>
      </c>
      <c r="S90" s="132">
        <v>0.5416666666666666</v>
      </c>
      <c r="T90" s="132">
        <v>0.7083333333333334</v>
      </c>
      <c r="U90" s="133">
        <f t="shared" si="13"/>
        <v>0.3472222222</v>
      </c>
      <c r="W90" s="136">
        <v>7.0</v>
      </c>
      <c r="X90" s="140">
        <v>0.32708333333333334</v>
      </c>
      <c r="Y90" s="141">
        <v>0.5</v>
      </c>
      <c r="Z90" s="141">
        <v>0.5416666666666666</v>
      </c>
      <c r="AA90" s="142">
        <v>0.75</v>
      </c>
      <c r="AB90" s="133">
        <f t="shared" si="14"/>
        <v>0.38125</v>
      </c>
      <c r="AD90" s="143"/>
      <c r="AE90" s="143"/>
      <c r="AF90" s="143"/>
    </row>
    <row r="91" ht="14.25" customHeight="1">
      <c r="B91" s="121" t="s">
        <v>31</v>
      </c>
      <c r="C91" s="122" t="s">
        <v>13</v>
      </c>
      <c r="D91" s="4"/>
      <c r="E91" s="4"/>
      <c r="F91" s="5"/>
      <c r="G91" s="121" t="s">
        <v>10</v>
      </c>
      <c r="I91" s="131">
        <v>12.0</v>
      </c>
      <c r="J91" s="132">
        <v>0.3263888888888889</v>
      </c>
      <c r="K91" s="132">
        <v>0.5</v>
      </c>
      <c r="L91" s="132">
        <v>0.5416666666666666</v>
      </c>
      <c r="M91" s="132">
        <v>0.7083333333333334</v>
      </c>
      <c r="N91" s="133">
        <f t="shared" si="12"/>
        <v>0.3402777778</v>
      </c>
      <c r="P91" s="134">
        <v>9.0</v>
      </c>
      <c r="Q91" s="138">
        <v>0.33194444444444443</v>
      </c>
      <c r="R91" s="132">
        <v>0.5</v>
      </c>
      <c r="S91" s="132">
        <v>0.5416666666666666</v>
      </c>
      <c r="T91" s="132">
        <v>0.7083333333333334</v>
      </c>
      <c r="U91" s="133">
        <f t="shared" si="13"/>
        <v>0.3347222222</v>
      </c>
      <c r="W91" s="136">
        <v>8.0</v>
      </c>
      <c r="X91" s="140">
        <v>0.29930555555555555</v>
      </c>
      <c r="Y91" s="141">
        <v>0.5</v>
      </c>
      <c r="Z91" s="141">
        <v>0.5416666666666666</v>
      </c>
      <c r="AA91" s="142">
        <v>0.75</v>
      </c>
      <c r="AB91" s="133">
        <f t="shared" si="14"/>
        <v>0.4090277778</v>
      </c>
      <c r="AD91" s="144" t="s">
        <v>17</v>
      </c>
      <c r="AE91" s="5"/>
      <c r="AF91" s="127">
        <f>sum(AF82:AF88)</f>
        <v>17.90138889</v>
      </c>
    </row>
    <row r="92" ht="14.25" customHeight="1">
      <c r="B92" s="10"/>
      <c r="C92" s="122" t="s">
        <v>32</v>
      </c>
      <c r="D92" s="5"/>
      <c r="E92" s="122" t="s">
        <v>33</v>
      </c>
      <c r="F92" s="5"/>
      <c r="G92" s="10"/>
      <c r="I92" s="131">
        <v>13.0</v>
      </c>
      <c r="J92" s="132">
        <v>0.3416666666666667</v>
      </c>
      <c r="K92" s="132">
        <v>0.5</v>
      </c>
      <c r="L92" s="132">
        <v>0.5416666666666666</v>
      </c>
      <c r="M92" s="132">
        <v>0.7083333333333334</v>
      </c>
      <c r="N92" s="133">
        <f t="shared" si="12"/>
        <v>0.325</v>
      </c>
      <c r="P92" s="134">
        <v>10.0</v>
      </c>
      <c r="Q92" s="132">
        <v>0.3333333333333333</v>
      </c>
      <c r="R92" s="132">
        <v>0.5</v>
      </c>
      <c r="S92" s="132">
        <v>0.5416666666666666</v>
      </c>
      <c r="T92" s="132">
        <v>0.7083333333333334</v>
      </c>
      <c r="U92" s="133">
        <f t="shared" si="13"/>
        <v>0.3333333333</v>
      </c>
      <c r="W92" s="136">
        <v>9.0</v>
      </c>
      <c r="X92" s="145">
        <v>0.2916666666666667</v>
      </c>
      <c r="Y92" s="145">
        <v>0.5</v>
      </c>
      <c r="Z92" s="145">
        <v>0.041666666666666664</v>
      </c>
      <c r="AA92" s="145">
        <v>0.20833333333333334</v>
      </c>
      <c r="AB92" s="133">
        <f t="shared" si="14"/>
        <v>0.375</v>
      </c>
    </row>
    <row r="93" ht="14.25" customHeight="1">
      <c r="B93" s="13"/>
      <c r="C93" s="128" t="s">
        <v>34</v>
      </c>
      <c r="D93" s="128" t="s">
        <v>35</v>
      </c>
      <c r="E93" s="128" t="s">
        <v>34</v>
      </c>
      <c r="F93" s="128" t="s">
        <v>35</v>
      </c>
      <c r="G93" s="13"/>
      <c r="I93" s="131">
        <v>14.0</v>
      </c>
      <c r="J93" s="132">
        <v>0.3263888888888889</v>
      </c>
      <c r="K93" s="132">
        <v>0.5</v>
      </c>
      <c r="L93" s="132">
        <v>0.5416666666666666</v>
      </c>
      <c r="M93" s="132">
        <v>0.7083333333333334</v>
      </c>
      <c r="N93" s="133">
        <f t="shared" si="12"/>
        <v>0.3402777778</v>
      </c>
      <c r="P93" s="134">
        <v>11.0</v>
      </c>
      <c r="Q93" s="138">
        <v>0.32916666666666666</v>
      </c>
      <c r="R93" s="138">
        <v>0.5</v>
      </c>
      <c r="S93" s="138">
        <v>0.5416666666666666</v>
      </c>
      <c r="T93" s="138">
        <v>0.7083333333333334</v>
      </c>
      <c r="U93" s="133">
        <f t="shared" si="13"/>
        <v>0.3375</v>
      </c>
      <c r="W93" s="136">
        <v>10.0</v>
      </c>
      <c r="X93" s="138">
        <v>0.29097222222222224</v>
      </c>
      <c r="Y93" s="138">
        <v>0.5</v>
      </c>
      <c r="Z93" s="138">
        <v>0.041666666666666664</v>
      </c>
      <c r="AA93" s="138">
        <v>0.20833333333333334</v>
      </c>
      <c r="AB93" s="133">
        <f t="shared" si="14"/>
        <v>0.3756944444</v>
      </c>
    </row>
    <row r="94" ht="14.25" customHeight="1">
      <c r="B94" s="134">
        <v>29.0</v>
      </c>
      <c r="C94" s="132">
        <v>0.3333333333333333</v>
      </c>
      <c r="D94" s="132">
        <v>0.5</v>
      </c>
      <c r="E94" s="132">
        <v>0.5416666666666666</v>
      </c>
      <c r="F94" s="132">
        <v>0.7083333333333334</v>
      </c>
      <c r="G94" s="133">
        <f t="shared" ref="G94:G95" si="15">SUM(D94-C94)+(F94-E94)</f>
        <v>0.3333333333</v>
      </c>
      <c r="I94" s="134">
        <v>16.0</v>
      </c>
      <c r="J94" s="132">
        <v>0.3263888888888889</v>
      </c>
      <c r="K94" s="132">
        <v>0.5</v>
      </c>
      <c r="L94" s="132">
        <v>0.5416666666666666</v>
      </c>
      <c r="M94" s="132">
        <v>0.7083333333333334</v>
      </c>
      <c r="N94" s="133">
        <f t="shared" si="12"/>
        <v>0.3402777778</v>
      </c>
      <c r="P94" s="134">
        <v>12.0</v>
      </c>
      <c r="Q94" s="138">
        <v>0.33055555555555555</v>
      </c>
      <c r="R94" s="138">
        <v>0.5</v>
      </c>
      <c r="S94" s="138">
        <v>0.5416666666666666</v>
      </c>
      <c r="T94" s="138">
        <v>0.7083333333333334</v>
      </c>
      <c r="U94" s="133">
        <f t="shared" si="13"/>
        <v>0.3361111111</v>
      </c>
      <c r="W94" s="136">
        <v>11.0</v>
      </c>
      <c r="X94" s="138"/>
      <c r="Y94" s="138"/>
      <c r="Z94" s="138"/>
      <c r="AA94" s="138"/>
      <c r="AB94" s="133">
        <f t="shared" si="14"/>
        <v>0</v>
      </c>
    </row>
    <row r="95" ht="14.25" customHeight="1">
      <c r="B95" s="131">
        <v>30.0</v>
      </c>
      <c r="C95" s="132">
        <v>0.3125</v>
      </c>
      <c r="D95" s="132">
        <v>0.5</v>
      </c>
      <c r="E95" s="132">
        <v>0.5416666666666666</v>
      </c>
      <c r="F95" s="132">
        <v>0.7083333333333334</v>
      </c>
      <c r="G95" s="133">
        <f t="shared" si="15"/>
        <v>0.3541666667</v>
      </c>
      <c r="I95" s="134">
        <v>17.0</v>
      </c>
      <c r="J95" s="132">
        <v>0.3194444444444444</v>
      </c>
      <c r="K95" s="132">
        <v>0.5</v>
      </c>
      <c r="L95" s="132">
        <v>0.5416666666666666</v>
      </c>
      <c r="M95" s="132">
        <v>0.7083333333333334</v>
      </c>
      <c r="N95" s="133">
        <f t="shared" si="12"/>
        <v>0.3472222222</v>
      </c>
      <c r="P95" s="134">
        <v>13.0</v>
      </c>
      <c r="Q95" s="138">
        <v>0.31666666666666665</v>
      </c>
      <c r="R95" s="138">
        <v>0.5</v>
      </c>
      <c r="S95" s="138">
        <v>0.5416666666666666</v>
      </c>
      <c r="T95" s="138">
        <v>0.7083333333333334</v>
      </c>
      <c r="U95" s="133">
        <f t="shared" si="13"/>
        <v>0.35</v>
      </c>
      <c r="W95" s="136">
        <v>12.0</v>
      </c>
      <c r="X95" s="138"/>
      <c r="Y95" s="138"/>
      <c r="Z95" s="138"/>
      <c r="AA95" s="138"/>
      <c r="AB95" s="133">
        <f t="shared" si="14"/>
        <v>0</v>
      </c>
      <c r="AF95" s="55"/>
    </row>
    <row r="96" ht="14.25" customHeight="1">
      <c r="B96" s="146" t="s">
        <v>17</v>
      </c>
      <c r="C96" s="4"/>
      <c r="D96" s="4"/>
      <c r="E96" s="4"/>
      <c r="F96" s="5"/>
      <c r="G96" s="147">
        <f>SUM(G94:G95)</f>
        <v>0.6875</v>
      </c>
      <c r="I96" s="134">
        <v>18.0</v>
      </c>
      <c r="J96" s="132">
        <v>0.3194444444444444</v>
      </c>
      <c r="K96" s="132">
        <v>0.5</v>
      </c>
      <c r="L96" s="132"/>
      <c r="M96" s="132"/>
      <c r="N96" s="133">
        <f t="shared" si="12"/>
        <v>0.1805555556</v>
      </c>
      <c r="P96" s="134">
        <v>14.0</v>
      </c>
      <c r="Q96" s="139"/>
      <c r="R96" s="139"/>
      <c r="S96" s="139"/>
      <c r="T96" s="139"/>
      <c r="U96" s="133">
        <f t="shared" si="13"/>
        <v>0</v>
      </c>
      <c r="W96" s="136">
        <v>13.0</v>
      </c>
      <c r="X96" s="145"/>
      <c r="Y96" s="145"/>
      <c r="Z96" s="145"/>
      <c r="AA96" s="145"/>
      <c r="AB96" s="133">
        <f t="shared" si="14"/>
        <v>0</v>
      </c>
    </row>
    <row r="97" ht="14.25" customHeight="1">
      <c r="I97" s="134">
        <v>19.0</v>
      </c>
      <c r="J97" s="132">
        <v>0.3263888888888889</v>
      </c>
      <c r="K97" s="132">
        <v>0.5</v>
      </c>
      <c r="L97" s="132">
        <v>0.5416666666666666</v>
      </c>
      <c r="M97" s="132">
        <v>0.7083333333333334</v>
      </c>
      <c r="N97" s="133">
        <f t="shared" si="12"/>
        <v>0.3402777778</v>
      </c>
      <c r="P97" s="134">
        <v>15.0</v>
      </c>
      <c r="Q97" s="138">
        <v>0.3277777777777778</v>
      </c>
      <c r="R97" s="138">
        <v>0.5</v>
      </c>
      <c r="S97" s="138">
        <v>0.5416666666666666</v>
      </c>
      <c r="T97" s="138">
        <v>0.7083333333333334</v>
      </c>
      <c r="U97" s="133">
        <f t="shared" si="13"/>
        <v>0.3388888889</v>
      </c>
      <c r="W97" s="136">
        <v>14.0</v>
      </c>
      <c r="X97" s="138"/>
      <c r="Y97" s="138"/>
      <c r="Z97" s="138"/>
      <c r="AA97" s="138"/>
      <c r="AB97" s="133">
        <f t="shared" si="14"/>
        <v>0</v>
      </c>
    </row>
    <row r="98" ht="14.25" customHeight="1">
      <c r="B98" s="148" t="s">
        <v>22</v>
      </c>
      <c r="C98" s="4"/>
      <c r="D98" s="4"/>
      <c r="E98" s="5"/>
      <c r="F98" s="148" t="s">
        <v>23</v>
      </c>
      <c r="G98" s="5"/>
      <c r="I98" s="134">
        <v>20.0</v>
      </c>
      <c r="J98" s="132">
        <v>0.3263888888888889</v>
      </c>
      <c r="K98" s="132">
        <v>0.5</v>
      </c>
      <c r="L98" s="132">
        <v>0.5416666666666666</v>
      </c>
      <c r="M98" s="132">
        <v>0.7083333333333334</v>
      </c>
      <c r="N98" s="133">
        <f t="shared" si="12"/>
        <v>0.3402777778</v>
      </c>
      <c r="P98" s="136">
        <v>16.0</v>
      </c>
      <c r="Q98" s="138">
        <v>0.3326388888888889</v>
      </c>
      <c r="R98" s="138">
        <v>0.5</v>
      </c>
      <c r="S98" s="138">
        <v>0.5416666666666666</v>
      </c>
      <c r="T98" s="138">
        <v>0.7083333333333334</v>
      </c>
      <c r="U98" s="133">
        <f t="shared" si="13"/>
        <v>0.3340277778</v>
      </c>
      <c r="W98" s="136">
        <v>15.0</v>
      </c>
      <c r="X98" s="138"/>
      <c r="Y98" s="138"/>
      <c r="Z98" s="138"/>
      <c r="AA98" s="138"/>
      <c r="AB98" s="133">
        <f t="shared" si="14"/>
        <v>0</v>
      </c>
      <c r="AD98" s="56"/>
    </row>
    <row r="99" ht="14.25" customHeight="1">
      <c r="B99" s="149">
        <f>B59-B86</f>
        <v>2.348611111</v>
      </c>
      <c r="E99" s="42"/>
      <c r="F99" s="150" t="str">
        <f>TEXT(B86/B59, "0.00%")</f>
        <v>88.40%</v>
      </c>
      <c r="G99" s="31"/>
      <c r="I99" s="134">
        <v>22.0</v>
      </c>
      <c r="J99" s="132">
        <v>0.3125</v>
      </c>
      <c r="K99" s="132">
        <v>0.5</v>
      </c>
      <c r="L99" s="132">
        <v>0.5416666666666666</v>
      </c>
      <c r="M99" s="132">
        <v>0.7083333333333334</v>
      </c>
      <c r="N99" s="133">
        <f t="shared" si="12"/>
        <v>0.3541666667</v>
      </c>
      <c r="P99" s="136">
        <v>17.0</v>
      </c>
      <c r="Q99" s="138">
        <v>0.3298611111111111</v>
      </c>
      <c r="R99" s="138">
        <v>0.5</v>
      </c>
      <c r="S99" s="138">
        <v>0.5416666666666666</v>
      </c>
      <c r="T99" s="138">
        <v>0.7083333333333334</v>
      </c>
      <c r="U99" s="133">
        <f t="shared" si="13"/>
        <v>0.3368055556</v>
      </c>
      <c r="W99" s="136">
        <v>16.0</v>
      </c>
      <c r="X99" s="138"/>
      <c r="Y99" s="138"/>
      <c r="Z99" s="138"/>
      <c r="AA99" s="138"/>
      <c r="AB99" s="133">
        <f t="shared" si="14"/>
        <v>0</v>
      </c>
    </row>
    <row r="100" ht="14.25" customHeight="1">
      <c r="B100" s="41"/>
      <c r="E100" s="42"/>
      <c r="F100" s="41"/>
      <c r="G100" s="42"/>
      <c r="I100" s="134">
        <v>23.0</v>
      </c>
      <c r="J100" s="132">
        <v>0.3263888888888889</v>
      </c>
      <c r="K100" s="132">
        <v>0.5</v>
      </c>
      <c r="L100" s="132">
        <v>0.5416666666666666</v>
      </c>
      <c r="M100" s="132">
        <v>0.7083333333333334</v>
      </c>
      <c r="N100" s="133">
        <f t="shared" si="12"/>
        <v>0.3402777778</v>
      </c>
      <c r="P100" s="151">
        <v>18.0</v>
      </c>
      <c r="Q100" s="139"/>
      <c r="R100" s="139"/>
      <c r="S100" s="139"/>
      <c r="T100" s="139"/>
      <c r="U100" s="133">
        <f t="shared" si="13"/>
        <v>0</v>
      </c>
      <c r="W100" s="151">
        <v>17.0</v>
      </c>
      <c r="X100" s="139"/>
      <c r="Y100" s="139"/>
      <c r="Z100" s="139"/>
      <c r="AA100" s="139"/>
      <c r="AB100" s="133">
        <f t="shared" si="14"/>
        <v>0</v>
      </c>
    </row>
    <row r="101" ht="14.25" customHeight="1">
      <c r="B101" s="33"/>
      <c r="C101" s="34"/>
      <c r="D101" s="34"/>
      <c r="E101" s="35"/>
      <c r="F101" s="33"/>
      <c r="G101" s="35"/>
      <c r="I101" s="134">
        <v>24.0</v>
      </c>
      <c r="J101" s="132">
        <v>0.3333333333333333</v>
      </c>
      <c r="K101" s="132">
        <v>0.5</v>
      </c>
      <c r="L101" s="132"/>
      <c r="M101" s="132"/>
      <c r="N101" s="133">
        <f t="shared" si="12"/>
        <v>0.1666666667</v>
      </c>
      <c r="P101" s="136">
        <v>19.0</v>
      </c>
      <c r="Q101" s="138">
        <v>0.3326388888888889</v>
      </c>
      <c r="R101" s="138">
        <v>0.5</v>
      </c>
      <c r="S101" s="138">
        <v>0.5416666666666666</v>
      </c>
      <c r="T101" s="138">
        <v>0.7083333333333334</v>
      </c>
      <c r="U101" s="133">
        <f t="shared" si="13"/>
        <v>0.3340277778</v>
      </c>
      <c r="W101" s="136">
        <v>18.0</v>
      </c>
      <c r="X101" s="138"/>
      <c r="Y101" s="138"/>
      <c r="Z101" s="138"/>
      <c r="AA101" s="138"/>
      <c r="AB101" s="133">
        <f t="shared" si="14"/>
        <v>0</v>
      </c>
    </row>
    <row r="102" ht="14.25" customHeight="1">
      <c r="F102" s="152"/>
      <c r="I102" s="134">
        <v>25.0</v>
      </c>
      <c r="J102" s="132">
        <v>0.33194444444444443</v>
      </c>
      <c r="K102" s="132">
        <v>0.5</v>
      </c>
      <c r="L102" s="132">
        <v>0.5416666666666666</v>
      </c>
      <c r="M102" s="132">
        <v>0.7083333333333334</v>
      </c>
      <c r="N102" s="133">
        <f t="shared" si="12"/>
        <v>0.3347222222</v>
      </c>
      <c r="P102" s="151">
        <v>20.0</v>
      </c>
      <c r="Q102" s="138">
        <v>0.32708333333333334</v>
      </c>
      <c r="R102" s="138">
        <v>0.5</v>
      </c>
      <c r="S102" s="138">
        <v>0.5416666666666666</v>
      </c>
      <c r="T102" s="138">
        <v>0.7083333333333334</v>
      </c>
      <c r="U102" s="133">
        <f t="shared" si="13"/>
        <v>0.3395833333</v>
      </c>
      <c r="W102" s="151">
        <v>19.0</v>
      </c>
      <c r="X102" s="138"/>
      <c r="Y102" s="138"/>
      <c r="Z102" s="138"/>
      <c r="AA102" s="138"/>
      <c r="AB102" s="133">
        <f t="shared" si="14"/>
        <v>0</v>
      </c>
    </row>
    <row r="103" ht="14.25" customHeight="1">
      <c r="F103" s="152"/>
      <c r="I103" s="134">
        <v>26.0</v>
      </c>
      <c r="J103" s="132">
        <v>0.34375</v>
      </c>
      <c r="K103" s="132">
        <v>0.5</v>
      </c>
      <c r="L103" s="132">
        <v>0.5416666666666666</v>
      </c>
      <c r="M103" s="132">
        <v>0.7083333333333334</v>
      </c>
      <c r="N103" s="133">
        <f t="shared" si="12"/>
        <v>0.3229166667</v>
      </c>
      <c r="P103" s="151">
        <v>21.0</v>
      </c>
      <c r="Q103" s="139"/>
      <c r="R103" s="139"/>
      <c r="S103" s="139"/>
      <c r="T103" s="139"/>
      <c r="U103" s="133">
        <f t="shared" si="13"/>
        <v>0</v>
      </c>
      <c r="W103" s="151">
        <v>20.0</v>
      </c>
      <c r="X103" s="139"/>
      <c r="Y103" s="139"/>
      <c r="Z103" s="139"/>
      <c r="AA103" s="139"/>
      <c r="AB103" s="133">
        <f t="shared" si="14"/>
        <v>0</v>
      </c>
    </row>
    <row r="104" ht="14.25" customHeight="1">
      <c r="I104" s="134">
        <v>27.0</v>
      </c>
      <c r="J104" s="132">
        <v>0.32083333333333336</v>
      </c>
      <c r="K104" s="132">
        <v>0.5</v>
      </c>
      <c r="L104" s="132">
        <v>0.5416666666666666</v>
      </c>
      <c r="M104" s="132">
        <v>0.7083333333333334</v>
      </c>
      <c r="N104" s="133">
        <f t="shared" si="12"/>
        <v>0.3458333333</v>
      </c>
      <c r="P104" s="136">
        <v>22.0</v>
      </c>
      <c r="Q104" s="132"/>
      <c r="R104" s="132"/>
      <c r="S104" s="132"/>
      <c r="T104" s="132"/>
      <c r="U104" s="133">
        <f t="shared" si="13"/>
        <v>0</v>
      </c>
      <c r="W104" s="136">
        <v>21.0</v>
      </c>
      <c r="X104" s="132"/>
      <c r="Y104" s="132"/>
      <c r="Z104" s="132"/>
      <c r="AA104" s="132"/>
      <c r="AB104" s="133">
        <f t="shared" si="14"/>
        <v>0</v>
      </c>
    </row>
    <row r="105" ht="14.25" customHeight="1">
      <c r="I105" s="139"/>
      <c r="J105" s="132"/>
      <c r="K105" s="132"/>
      <c r="L105" s="132"/>
      <c r="M105" s="132"/>
      <c r="N105" s="133">
        <f t="shared" si="12"/>
        <v>0</v>
      </c>
      <c r="P105" s="151">
        <v>23.0</v>
      </c>
      <c r="Q105" s="138">
        <v>0.33194444444444443</v>
      </c>
      <c r="R105" s="138">
        <v>0.5</v>
      </c>
      <c r="S105" s="138">
        <v>0.5416666666666666</v>
      </c>
      <c r="T105" s="138">
        <v>0.7083333333333334</v>
      </c>
      <c r="U105" s="133">
        <f t="shared" si="13"/>
        <v>0.3347222222</v>
      </c>
      <c r="W105" s="151">
        <v>22.0</v>
      </c>
      <c r="X105" s="138"/>
      <c r="Y105" s="138"/>
      <c r="Z105" s="138"/>
      <c r="AA105" s="138"/>
      <c r="AB105" s="133">
        <f t="shared" si="14"/>
        <v>0</v>
      </c>
    </row>
    <row r="106" ht="14.25" customHeight="1">
      <c r="I106" s="153" t="s">
        <v>17</v>
      </c>
      <c r="J106" s="153"/>
      <c r="K106" s="153"/>
      <c r="L106" s="153"/>
      <c r="M106" s="153"/>
      <c r="N106" s="154">
        <f>SUM(N84:N104)</f>
        <v>6.809722222</v>
      </c>
      <c r="P106" s="151">
        <v>24.0</v>
      </c>
      <c r="Q106" s="132"/>
      <c r="R106" s="132"/>
      <c r="S106" s="132"/>
      <c r="T106" s="132"/>
      <c r="U106" s="133">
        <f t="shared" si="13"/>
        <v>0</v>
      </c>
      <c r="W106" s="151">
        <v>23.0</v>
      </c>
      <c r="X106" s="132"/>
      <c r="Y106" s="132"/>
      <c r="Z106" s="132"/>
      <c r="AA106" s="132"/>
      <c r="AB106" s="133">
        <f t="shared" si="14"/>
        <v>0</v>
      </c>
    </row>
    <row r="107" ht="14.25" customHeight="1">
      <c r="P107" s="151">
        <v>25.0</v>
      </c>
      <c r="Q107" s="135">
        <v>0.3576388888888889</v>
      </c>
      <c r="R107" s="135">
        <v>0.5</v>
      </c>
      <c r="S107" s="135">
        <v>0.5416666666666666</v>
      </c>
      <c r="T107" s="135">
        <v>0.7083333333333334</v>
      </c>
      <c r="U107" s="133">
        <f t="shared" si="13"/>
        <v>0.3090277778</v>
      </c>
      <c r="W107" s="151">
        <v>24.0</v>
      </c>
      <c r="X107" s="135"/>
      <c r="Y107" s="135"/>
      <c r="Z107" s="135"/>
      <c r="AA107" s="135"/>
      <c r="AB107" s="133">
        <f t="shared" si="14"/>
        <v>0</v>
      </c>
    </row>
    <row r="108" ht="14.25" customHeight="1">
      <c r="P108" s="151">
        <v>26.0</v>
      </c>
      <c r="Q108" s="135">
        <v>0.3298611111111111</v>
      </c>
      <c r="R108" s="135">
        <v>0.5</v>
      </c>
      <c r="S108" s="135">
        <v>0.5416666666666666</v>
      </c>
      <c r="T108" s="135">
        <v>0.7083333333333334</v>
      </c>
      <c r="U108" s="133">
        <f t="shared" si="13"/>
        <v>0.3368055556</v>
      </c>
      <c r="W108" s="151">
        <v>25.0</v>
      </c>
      <c r="X108" s="132"/>
      <c r="Y108" s="132"/>
      <c r="Z108" s="132"/>
      <c r="AA108" s="132"/>
      <c r="AB108" s="133">
        <f t="shared" si="14"/>
        <v>0</v>
      </c>
    </row>
    <row r="109" ht="14.25" customHeight="1">
      <c r="P109" s="151">
        <v>27.0</v>
      </c>
      <c r="Q109" s="135">
        <v>0.3347222222222222</v>
      </c>
      <c r="R109" s="135">
        <v>0.5</v>
      </c>
      <c r="S109" s="135">
        <v>0.5416666666666666</v>
      </c>
      <c r="T109" s="135">
        <v>0.7083333333333334</v>
      </c>
      <c r="U109" s="133">
        <f t="shared" si="13"/>
        <v>0.3319444444</v>
      </c>
      <c r="W109" s="151">
        <v>26.0</v>
      </c>
      <c r="X109" s="132"/>
      <c r="Y109" s="132"/>
      <c r="Z109" s="132"/>
      <c r="AA109" s="132"/>
      <c r="AB109" s="133">
        <f t="shared" si="14"/>
        <v>0</v>
      </c>
    </row>
    <row r="110" ht="14.25" customHeight="1">
      <c r="P110" s="151">
        <v>28.0</v>
      </c>
      <c r="Q110" s="132"/>
      <c r="R110" s="132"/>
      <c r="S110" s="132"/>
      <c r="T110" s="132"/>
      <c r="U110" s="133">
        <f t="shared" si="13"/>
        <v>0</v>
      </c>
      <c r="W110" s="151">
        <v>27.0</v>
      </c>
      <c r="X110" s="132"/>
      <c r="Y110" s="132"/>
      <c r="Z110" s="132"/>
      <c r="AA110" s="132"/>
      <c r="AB110" s="133">
        <f t="shared" si="14"/>
        <v>0</v>
      </c>
    </row>
    <row r="111" ht="14.25" customHeight="1">
      <c r="P111" s="151">
        <v>29.0</v>
      </c>
      <c r="Q111" s="132"/>
      <c r="R111" s="132"/>
      <c r="S111" s="132"/>
      <c r="T111" s="132"/>
      <c r="U111" s="133">
        <f t="shared" si="13"/>
        <v>0</v>
      </c>
      <c r="W111" s="151">
        <v>28.0</v>
      </c>
      <c r="X111" s="132"/>
      <c r="Y111" s="132"/>
      <c r="Z111" s="132"/>
      <c r="AA111" s="132"/>
      <c r="AB111" s="133">
        <f t="shared" si="14"/>
        <v>0</v>
      </c>
    </row>
    <row r="112" ht="14.25" customHeight="1">
      <c r="P112" s="151">
        <v>30.0</v>
      </c>
      <c r="Q112" s="135">
        <v>0.3159722222222222</v>
      </c>
      <c r="R112" s="135">
        <v>0.5</v>
      </c>
      <c r="S112" s="135">
        <v>0.5416666666666666</v>
      </c>
      <c r="T112" s="135">
        <v>0.7083333333333334</v>
      </c>
      <c r="U112" s="133">
        <f t="shared" si="13"/>
        <v>0.3506944444</v>
      </c>
      <c r="W112" s="151">
        <v>29.0</v>
      </c>
      <c r="X112" s="132"/>
      <c r="Y112" s="132"/>
      <c r="Z112" s="132"/>
      <c r="AA112" s="132"/>
      <c r="AB112" s="133">
        <f t="shared" si="14"/>
        <v>0</v>
      </c>
    </row>
    <row r="113" ht="14.25" customHeight="1">
      <c r="P113" s="151">
        <v>31.0</v>
      </c>
      <c r="Q113" s="135">
        <v>0.32083333333333336</v>
      </c>
      <c r="R113" s="135">
        <v>0.5</v>
      </c>
      <c r="S113" s="135">
        <v>0.5416666666666666</v>
      </c>
      <c r="T113" s="135">
        <v>0.7083333333333334</v>
      </c>
      <c r="U113" s="133">
        <f t="shared" si="13"/>
        <v>0.3458333333</v>
      </c>
      <c r="W113" s="151">
        <v>30.0</v>
      </c>
      <c r="X113" s="132"/>
      <c r="Y113" s="132"/>
      <c r="Z113" s="132"/>
      <c r="AA113" s="132"/>
      <c r="AB113" s="133">
        <f t="shared" si="14"/>
        <v>0</v>
      </c>
    </row>
    <row r="114" ht="14.25" customHeight="1">
      <c r="P114" s="155" t="s">
        <v>17</v>
      </c>
      <c r="Q114" s="4"/>
      <c r="R114" s="4"/>
      <c r="S114" s="4"/>
      <c r="T114" s="5"/>
      <c r="U114" s="156">
        <f>SUM(U84:U113)</f>
        <v>7.558333333</v>
      </c>
      <c r="W114" s="155" t="s">
        <v>17</v>
      </c>
      <c r="X114" s="4"/>
      <c r="Y114" s="4"/>
      <c r="Z114" s="4"/>
      <c r="AA114" s="5"/>
      <c r="AB114" s="156">
        <f>SUM(AB84:AB113)</f>
        <v>2.845833333</v>
      </c>
    </row>
    <row r="115" ht="14.25" customHeight="1"/>
    <row r="116" ht="14.25" customHeight="1">
      <c r="Q116" s="55"/>
    </row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>
      <c r="I124" s="157" t="s">
        <v>0</v>
      </c>
      <c r="J124" s="158" t="s">
        <v>3</v>
      </c>
      <c r="K124" s="4"/>
      <c r="L124" s="4"/>
      <c r="M124" s="5"/>
      <c r="N124" s="157" t="s">
        <v>2</v>
      </c>
      <c r="O124" s="159"/>
      <c r="P124" s="157" t="s">
        <v>0</v>
      </c>
      <c r="Q124" s="158" t="s">
        <v>4</v>
      </c>
      <c r="R124" s="4"/>
      <c r="S124" s="4"/>
      <c r="T124" s="5"/>
      <c r="U124" s="157" t="s">
        <v>2</v>
      </c>
      <c r="W124" s="160" t="s">
        <v>0</v>
      </c>
      <c r="X124" s="161" t="s">
        <v>5</v>
      </c>
      <c r="Y124" s="4"/>
      <c r="Z124" s="4"/>
      <c r="AA124" s="5"/>
      <c r="AB124" s="160" t="s">
        <v>2</v>
      </c>
      <c r="AD124" s="162" t="s">
        <v>37</v>
      </c>
      <c r="AE124" s="162" t="s">
        <v>9</v>
      </c>
      <c r="AF124" s="162" t="s">
        <v>10</v>
      </c>
    </row>
    <row r="125" ht="14.25" customHeight="1">
      <c r="I125" s="10"/>
      <c r="J125" s="158" t="s">
        <v>6</v>
      </c>
      <c r="K125" s="5"/>
      <c r="L125" s="158" t="s">
        <v>7</v>
      </c>
      <c r="M125" s="5"/>
      <c r="N125" s="10"/>
      <c r="O125" s="159"/>
      <c r="P125" s="10"/>
      <c r="Q125" s="158" t="s">
        <v>6</v>
      </c>
      <c r="R125" s="5"/>
      <c r="S125" s="158" t="s">
        <v>7</v>
      </c>
      <c r="T125" s="5"/>
      <c r="U125" s="10"/>
      <c r="W125" s="10"/>
      <c r="X125" s="163" t="s">
        <v>6</v>
      </c>
      <c r="Y125" s="5"/>
      <c r="Z125" s="163" t="s">
        <v>7</v>
      </c>
      <c r="AA125" s="5"/>
      <c r="AB125" s="10"/>
      <c r="AD125" s="164" t="s">
        <v>13</v>
      </c>
      <c r="AE125" s="165" t="s">
        <v>14</v>
      </c>
      <c r="AF125" s="166">
        <f>sum(G137:G138)</f>
        <v>0.6875</v>
      </c>
    </row>
    <row r="126" ht="14.25" customHeight="1">
      <c r="B126" s="167" t="s">
        <v>38</v>
      </c>
      <c r="C126" s="30"/>
      <c r="D126" s="30"/>
      <c r="E126" s="30"/>
      <c r="F126" s="30"/>
      <c r="G126" s="31"/>
      <c r="I126" s="13"/>
      <c r="J126" s="168" t="s">
        <v>11</v>
      </c>
      <c r="K126" s="168" t="s">
        <v>12</v>
      </c>
      <c r="L126" s="168" t="s">
        <v>11</v>
      </c>
      <c r="M126" s="168" t="s">
        <v>12</v>
      </c>
      <c r="N126" s="13"/>
      <c r="O126" s="159"/>
      <c r="P126" s="13"/>
      <c r="Q126" s="168" t="s">
        <v>11</v>
      </c>
      <c r="R126" s="168" t="s">
        <v>12</v>
      </c>
      <c r="S126" s="168" t="s">
        <v>11</v>
      </c>
      <c r="T126" s="168" t="s">
        <v>12</v>
      </c>
      <c r="U126" s="13"/>
      <c r="W126" s="13"/>
      <c r="X126" s="169" t="s">
        <v>11</v>
      </c>
      <c r="Y126" s="169" t="s">
        <v>12</v>
      </c>
      <c r="Z126" s="169" t="s">
        <v>11</v>
      </c>
      <c r="AA126" s="169" t="s">
        <v>12</v>
      </c>
      <c r="AB126" s="13"/>
      <c r="AD126" s="164" t="s">
        <v>15</v>
      </c>
      <c r="AE126" s="170">
        <v>46037.0</v>
      </c>
      <c r="AF126" s="166">
        <f>sum(N127:N136)</f>
        <v>2.823611111</v>
      </c>
    </row>
    <row r="127" ht="14.25" customHeight="1">
      <c r="B127" s="33"/>
      <c r="C127" s="34"/>
      <c r="D127" s="34"/>
      <c r="E127" s="34"/>
      <c r="F127" s="34"/>
      <c r="G127" s="35"/>
      <c r="I127" s="171">
        <v>2.0</v>
      </c>
      <c r="J127" s="172">
        <v>0.31805555555555554</v>
      </c>
      <c r="K127" s="172">
        <v>0.5</v>
      </c>
      <c r="L127" s="173">
        <v>0.6041666666666666</v>
      </c>
      <c r="M127" s="172">
        <v>0.7083333333333334</v>
      </c>
      <c r="N127" s="174">
        <f t="shared" ref="N127:N147" si="16">SUM(K127-J127)+M127-L127</f>
        <v>0.2861111111</v>
      </c>
      <c r="O127" s="159"/>
      <c r="P127" s="171">
        <v>2.0</v>
      </c>
      <c r="Q127" s="173">
        <v>0.3173611111111111</v>
      </c>
      <c r="R127" s="172">
        <v>0.5</v>
      </c>
      <c r="S127" s="172">
        <v>0.5416666666666666</v>
      </c>
      <c r="T127" s="172">
        <v>0.7083333333333334</v>
      </c>
      <c r="U127" s="175">
        <f t="shared" ref="U127:U156" si="17">sum(R127-Q127)+T127-S127</f>
        <v>0.3493055556</v>
      </c>
      <c r="W127" s="176">
        <v>1.0</v>
      </c>
      <c r="X127" s="177"/>
      <c r="Y127" s="177"/>
      <c r="Z127" s="177"/>
      <c r="AA127" s="177"/>
      <c r="AB127" s="178">
        <f t="shared" ref="AB127:AB156" si="18">SUM(Y127-X127)+(AA127-Z127)</f>
        <v>0</v>
      </c>
      <c r="AD127" s="164" t="s">
        <v>15</v>
      </c>
      <c r="AE127" s="165" t="s">
        <v>16</v>
      </c>
      <c r="AF127" s="166">
        <f>sum(N137:N148)</f>
        <v>3.085416667</v>
      </c>
    </row>
    <row r="128" ht="14.25" customHeight="1">
      <c r="B128" s="179">
        <f>sum(G139+N149+U157+AB157)</f>
        <v>15.07222222</v>
      </c>
      <c r="C128" s="30"/>
      <c r="D128" s="30"/>
      <c r="E128" s="30"/>
      <c r="F128" s="30"/>
      <c r="G128" s="31"/>
      <c r="I128" s="171">
        <v>3.0</v>
      </c>
      <c r="J128" s="180"/>
      <c r="K128" s="180"/>
      <c r="L128" s="173">
        <v>0.5694444444444444</v>
      </c>
      <c r="M128" s="172">
        <v>0.7083333333333334</v>
      </c>
      <c r="N128" s="174">
        <f t="shared" si="16"/>
        <v>0.1388888889</v>
      </c>
      <c r="O128" s="159"/>
      <c r="P128" s="171">
        <v>3.0</v>
      </c>
      <c r="Q128" s="172">
        <v>0.31875</v>
      </c>
      <c r="R128" s="172">
        <v>0.5</v>
      </c>
      <c r="S128" s="172">
        <v>0.5416666666666666</v>
      </c>
      <c r="T128" s="172">
        <v>0.7083333333333334</v>
      </c>
      <c r="U128" s="175">
        <f t="shared" si="17"/>
        <v>0.3479166667</v>
      </c>
      <c r="W128" s="176">
        <v>2.0</v>
      </c>
      <c r="X128" s="181">
        <v>0.2847222222222222</v>
      </c>
      <c r="Y128" s="182">
        <v>0.5</v>
      </c>
      <c r="Z128" s="182">
        <v>0.5416666666666666</v>
      </c>
      <c r="AA128" s="181">
        <v>0.7222222222222222</v>
      </c>
      <c r="AB128" s="178">
        <f t="shared" si="18"/>
        <v>0.3958333333</v>
      </c>
      <c r="AD128" s="164" t="s">
        <v>18</v>
      </c>
      <c r="AE128" s="170">
        <v>46037.0</v>
      </c>
      <c r="AF128" s="166">
        <f>sum(U127:U140)</f>
        <v>3.499305556</v>
      </c>
    </row>
    <row r="129" ht="14.25" customHeight="1">
      <c r="B129" s="41"/>
      <c r="G129" s="42"/>
      <c r="I129" s="171">
        <v>4.0</v>
      </c>
      <c r="J129" s="173">
        <v>0.3125</v>
      </c>
      <c r="K129" s="172">
        <v>0.5</v>
      </c>
      <c r="L129" s="172">
        <v>0.5416666666666666</v>
      </c>
      <c r="M129" s="172">
        <v>0.7083333333333334</v>
      </c>
      <c r="N129" s="174">
        <f t="shared" si="16"/>
        <v>0.3541666667</v>
      </c>
      <c r="O129" s="159"/>
      <c r="P129" s="171">
        <v>4.0</v>
      </c>
      <c r="Q129" s="180"/>
      <c r="R129" s="180"/>
      <c r="S129" s="180"/>
      <c r="T129" s="180"/>
      <c r="U129" s="175">
        <f t="shared" si="17"/>
        <v>0</v>
      </c>
      <c r="W129" s="176">
        <v>3.0</v>
      </c>
      <c r="X129" s="181">
        <v>0.2916666666666667</v>
      </c>
      <c r="Y129" s="182">
        <v>0.5</v>
      </c>
      <c r="Z129" s="182">
        <v>0.5416666666666666</v>
      </c>
      <c r="AA129" s="181">
        <v>0.7083333333333334</v>
      </c>
      <c r="AB129" s="178">
        <f t="shared" si="18"/>
        <v>0.375</v>
      </c>
      <c r="AD129" s="164" t="s">
        <v>18</v>
      </c>
      <c r="AE129" s="165" t="s">
        <v>19</v>
      </c>
      <c r="AF129" s="166">
        <f>sum(U141:U156)</f>
        <v>3.004166667</v>
      </c>
    </row>
    <row r="130" ht="14.25" customHeight="1">
      <c r="A130" s="159"/>
      <c r="B130" s="41"/>
      <c r="G130" s="42"/>
      <c r="I130" s="171">
        <v>5.0</v>
      </c>
      <c r="J130" s="172">
        <v>0.3263888888888889</v>
      </c>
      <c r="K130" s="172">
        <v>0.5</v>
      </c>
      <c r="L130" s="172">
        <v>0.5416666666666666</v>
      </c>
      <c r="M130" s="172">
        <v>0.7083333333333334</v>
      </c>
      <c r="N130" s="174">
        <f t="shared" si="16"/>
        <v>0.3402777778</v>
      </c>
      <c r="O130" s="159"/>
      <c r="P130" s="171">
        <v>5.0</v>
      </c>
      <c r="Q130" s="172">
        <v>0.33194444444444443</v>
      </c>
      <c r="R130" s="172">
        <v>0.5</v>
      </c>
      <c r="S130" s="172">
        <v>0.5416666666666666</v>
      </c>
      <c r="T130" s="172">
        <v>0.7083333333333334</v>
      </c>
      <c r="U130" s="175">
        <f t="shared" si="17"/>
        <v>0.3347222222</v>
      </c>
      <c r="W130" s="176">
        <v>4.0</v>
      </c>
      <c r="X130" s="181"/>
      <c r="Y130" s="182"/>
      <c r="Z130" s="182"/>
      <c r="AA130" s="181"/>
      <c r="AB130" s="178">
        <f t="shared" si="18"/>
        <v>0</v>
      </c>
      <c r="AD130" s="164" t="s">
        <v>5</v>
      </c>
      <c r="AE130" s="170">
        <v>46037.0</v>
      </c>
      <c r="AF130" s="166">
        <f>sum(AB127:AB141)</f>
        <v>1.972222222</v>
      </c>
    </row>
    <row r="131" ht="14.25" customHeight="1">
      <c r="A131" s="159"/>
      <c r="B131" s="33"/>
      <c r="C131" s="34"/>
      <c r="D131" s="34"/>
      <c r="E131" s="34"/>
      <c r="F131" s="34"/>
      <c r="G131" s="35"/>
      <c r="I131" s="171">
        <v>6.0</v>
      </c>
      <c r="J131" s="172">
        <v>0.3263888888888889</v>
      </c>
      <c r="K131" s="172">
        <v>0.5</v>
      </c>
      <c r="L131" s="172">
        <v>0.5416666666666666</v>
      </c>
      <c r="M131" s="172">
        <v>0.7083333333333334</v>
      </c>
      <c r="N131" s="174">
        <f t="shared" si="16"/>
        <v>0.3402777778</v>
      </c>
      <c r="O131" s="159"/>
      <c r="P131" s="171">
        <v>6.0</v>
      </c>
      <c r="Q131" s="177">
        <v>0.32569444444444445</v>
      </c>
      <c r="R131" s="177">
        <v>0.4583333333333333</v>
      </c>
      <c r="S131" s="180"/>
      <c r="T131" s="180"/>
      <c r="U131" s="175">
        <f t="shared" si="17"/>
        <v>0.1326388889</v>
      </c>
      <c r="W131" s="176">
        <v>5.0</v>
      </c>
      <c r="X131" s="177"/>
      <c r="Y131" s="177"/>
      <c r="Z131" s="177"/>
      <c r="AA131" s="177"/>
      <c r="AB131" s="178">
        <f t="shared" si="18"/>
        <v>0</v>
      </c>
      <c r="AD131" s="164" t="s">
        <v>5</v>
      </c>
      <c r="AE131" s="165" t="s">
        <v>21</v>
      </c>
      <c r="AF131" s="166">
        <f>sum(AB142:AB156)</f>
        <v>0</v>
      </c>
    </row>
    <row r="132" ht="14.25" customHeight="1">
      <c r="A132" s="159"/>
      <c r="B132" s="159"/>
      <c r="C132" s="159"/>
      <c r="D132" s="159"/>
      <c r="E132" s="159"/>
      <c r="F132" s="159"/>
      <c r="G132" s="159"/>
      <c r="I132" s="171">
        <v>10.0</v>
      </c>
      <c r="J132" s="172">
        <v>0.32708333333333334</v>
      </c>
      <c r="K132" s="172">
        <v>0.5</v>
      </c>
      <c r="L132" s="172">
        <v>0.5416666666666666</v>
      </c>
      <c r="M132" s="172">
        <v>0.7083333333333334</v>
      </c>
      <c r="N132" s="174">
        <f t="shared" si="16"/>
        <v>0.3395833333</v>
      </c>
      <c r="O132" s="159"/>
      <c r="P132" s="171">
        <v>7.0</v>
      </c>
      <c r="Q132" s="183">
        <v>0.3263888888888889</v>
      </c>
      <c r="R132" s="184">
        <v>0.5</v>
      </c>
      <c r="S132" s="184">
        <v>0.5416666666666666</v>
      </c>
      <c r="T132" s="184">
        <v>0.7083333333333334</v>
      </c>
      <c r="U132" s="175">
        <f t="shared" si="17"/>
        <v>0.3402777778</v>
      </c>
      <c r="W132" s="176">
        <v>6.0</v>
      </c>
      <c r="X132" s="182">
        <v>0.3055555555555556</v>
      </c>
      <c r="Y132" s="182">
        <v>0.5</v>
      </c>
      <c r="Z132" s="182">
        <v>0.5416666666666666</v>
      </c>
      <c r="AA132" s="182">
        <v>0.75</v>
      </c>
      <c r="AB132" s="178">
        <f t="shared" si="18"/>
        <v>0.4027777778</v>
      </c>
      <c r="AD132" s="185"/>
      <c r="AE132" s="185"/>
      <c r="AF132" s="185"/>
    </row>
    <row r="133" ht="14.25" customHeight="1">
      <c r="A133" s="159"/>
      <c r="I133" s="171">
        <v>11.0</v>
      </c>
      <c r="J133" s="173">
        <v>0.3229166666666667</v>
      </c>
      <c r="K133" s="172">
        <v>0.5</v>
      </c>
      <c r="L133" s="172">
        <v>0.5416666666666666</v>
      </c>
      <c r="M133" s="172">
        <v>0.7083333333333334</v>
      </c>
      <c r="N133" s="174">
        <f t="shared" si="16"/>
        <v>0.34375</v>
      </c>
      <c r="O133" s="159"/>
      <c r="P133" s="171">
        <v>8.0</v>
      </c>
      <c r="Q133" s="183">
        <v>0.3194444444444444</v>
      </c>
      <c r="R133" s="184">
        <v>0.5</v>
      </c>
      <c r="S133" s="184">
        <v>0.5416666666666666</v>
      </c>
      <c r="T133" s="184">
        <v>0.7083333333333334</v>
      </c>
      <c r="U133" s="175">
        <f t="shared" si="17"/>
        <v>0.3472222222</v>
      </c>
      <c r="W133" s="176">
        <v>7.0</v>
      </c>
      <c r="X133" s="177">
        <v>0.3333333333333333</v>
      </c>
      <c r="Y133" s="177">
        <v>0.5</v>
      </c>
      <c r="Z133" s="177">
        <v>0.5416666666666666</v>
      </c>
      <c r="AA133" s="177">
        <v>0.75</v>
      </c>
      <c r="AB133" s="178">
        <f t="shared" si="18"/>
        <v>0.375</v>
      </c>
      <c r="AD133" s="185"/>
      <c r="AE133" s="185"/>
      <c r="AF133" s="185"/>
    </row>
    <row r="134" ht="14.25" customHeight="1">
      <c r="A134" s="159"/>
      <c r="B134" s="160" t="s">
        <v>0</v>
      </c>
      <c r="C134" s="163" t="s">
        <v>25</v>
      </c>
      <c r="D134" s="4"/>
      <c r="E134" s="4"/>
      <c r="F134" s="5"/>
      <c r="G134" s="160" t="s">
        <v>2</v>
      </c>
      <c r="I134" s="171">
        <v>12.0</v>
      </c>
      <c r="J134" s="173">
        <v>0.3263888888888889</v>
      </c>
      <c r="K134" s="172">
        <v>0.5</v>
      </c>
      <c r="L134" s="172">
        <v>0.5416666666666666</v>
      </c>
      <c r="M134" s="172">
        <v>0.7083333333333334</v>
      </c>
      <c r="N134" s="174">
        <f t="shared" si="16"/>
        <v>0.3402777778</v>
      </c>
      <c r="O134" s="159"/>
      <c r="P134" s="171">
        <v>9.0</v>
      </c>
      <c r="Q134" s="183">
        <v>0.33194444444444443</v>
      </c>
      <c r="R134" s="184">
        <v>0.5</v>
      </c>
      <c r="S134" s="184">
        <v>0.5416666666666666</v>
      </c>
      <c r="T134" s="184">
        <v>0.7083333333333334</v>
      </c>
      <c r="U134" s="175">
        <f t="shared" si="17"/>
        <v>0.3347222222</v>
      </c>
      <c r="W134" s="176">
        <v>8.0</v>
      </c>
      <c r="X134" s="181">
        <v>0.2847222222222222</v>
      </c>
      <c r="Y134" s="182">
        <v>0.5</v>
      </c>
      <c r="Z134" s="177">
        <v>0.5416666666666666</v>
      </c>
      <c r="AA134" s="177">
        <v>0.75</v>
      </c>
      <c r="AB134" s="178">
        <f t="shared" si="18"/>
        <v>0.4236111111</v>
      </c>
      <c r="AD134" s="186" t="s">
        <v>17</v>
      </c>
      <c r="AE134" s="5"/>
      <c r="AF134" s="166">
        <f>sum(AF125:AF131)</f>
        <v>15.07222222</v>
      </c>
    </row>
    <row r="135" ht="14.25" customHeight="1">
      <c r="A135" s="159"/>
      <c r="B135" s="10"/>
      <c r="C135" s="163" t="s">
        <v>6</v>
      </c>
      <c r="D135" s="5"/>
      <c r="E135" s="163" t="s">
        <v>7</v>
      </c>
      <c r="F135" s="5"/>
      <c r="G135" s="10"/>
      <c r="H135" s="159"/>
      <c r="I135" s="171">
        <v>13.0</v>
      </c>
      <c r="J135" s="172">
        <v>0.3263888888888889</v>
      </c>
      <c r="K135" s="172">
        <v>0.5</v>
      </c>
      <c r="L135" s="172">
        <v>0.5416666666666666</v>
      </c>
      <c r="M135" s="172">
        <v>0.7083333333333334</v>
      </c>
      <c r="N135" s="174">
        <f t="shared" si="16"/>
        <v>0.3402777778</v>
      </c>
      <c r="O135" s="159"/>
      <c r="P135" s="171">
        <v>10.0</v>
      </c>
      <c r="Q135" s="183">
        <v>0.3263888888888889</v>
      </c>
      <c r="R135" s="184">
        <v>0.5</v>
      </c>
      <c r="S135" s="184">
        <v>0.5416666666666666</v>
      </c>
      <c r="T135" s="184">
        <v>0.7083333333333334</v>
      </c>
      <c r="U135" s="175">
        <f t="shared" si="17"/>
        <v>0.3402777778</v>
      </c>
      <c r="W135" s="176">
        <v>9.0</v>
      </c>
      <c r="X135" s="177"/>
      <c r="Y135" s="177"/>
      <c r="Z135" s="177"/>
      <c r="AA135" s="177"/>
      <c r="AB135" s="178">
        <f t="shared" si="18"/>
        <v>0</v>
      </c>
    </row>
    <row r="136" ht="14.25" customHeight="1">
      <c r="A136" s="159"/>
      <c r="B136" s="13"/>
      <c r="C136" s="169" t="s">
        <v>11</v>
      </c>
      <c r="D136" s="169" t="s">
        <v>12</v>
      </c>
      <c r="E136" s="169" t="s">
        <v>11</v>
      </c>
      <c r="F136" s="169" t="s">
        <v>12</v>
      </c>
      <c r="G136" s="13"/>
      <c r="H136" s="159"/>
      <c r="I136" s="171">
        <v>14.0</v>
      </c>
      <c r="J136" s="180"/>
      <c r="K136" s="180"/>
      <c r="L136" s="180"/>
      <c r="M136" s="180"/>
      <c r="N136" s="174">
        <f t="shared" si="16"/>
        <v>0</v>
      </c>
      <c r="O136" s="159"/>
      <c r="P136" s="171">
        <v>11.0</v>
      </c>
      <c r="Q136" s="180"/>
      <c r="R136" s="180"/>
      <c r="S136" s="177">
        <v>0.5416666666666666</v>
      </c>
      <c r="T136" s="177">
        <v>0.7083333333333334</v>
      </c>
      <c r="U136" s="175">
        <f t="shared" si="17"/>
        <v>0.1666666667</v>
      </c>
      <c r="W136" s="187">
        <v>10.0</v>
      </c>
      <c r="X136" s="177"/>
      <c r="Y136" s="177"/>
      <c r="Z136" s="177"/>
      <c r="AA136" s="177"/>
      <c r="AB136" s="178">
        <f t="shared" si="18"/>
        <v>0</v>
      </c>
      <c r="AD136" s="105"/>
    </row>
    <row r="137" ht="14.25" customHeight="1">
      <c r="A137" s="159"/>
      <c r="B137" s="187">
        <v>29.0</v>
      </c>
      <c r="C137" s="184">
        <v>0.3333333333333333</v>
      </c>
      <c r="D137" s="184">
        <v>0.5</v>
      </c>
      <c r="E137" s="184">
        <v>0.5416666666666666</v>
      </c>
      <c r="F137" s="184">
        <v>0.7083333333333334</v>
      </c>
      <c r="G137" s="178">
        <f t="shared" ref="G137:G138" si="19">SUM(D137-C137)+(F137-E137)</f>
        <v>0.3333333333</v>
      </c>
      <c r="H137" s="159"/>
      <c r="I137" s="171">
        <v>16.0</v>
      </c>
      <c r="J137" s="172">
        <v>0.32916666666666666</v>
      </c>
      <c r="K137" s="172">
        <v>0.5</v>
      </c>
      <c r="L137" s="172">
        <v>0.5416666666666666</v>
      </c>
      <c r="M137" s="172">
        <v>0.7083333333333334</v>
      </c>
      <c r="N137" s="174">
        <f t="shared" si="16"/>
        <v>0.3375</v>
      </c>
      <c r="O137" s="159"/>
      <c r="P137" s="171">
        <v>12.0</v>
      </c>
      <c r="Q137" s="177">
        <v>0.3333333333333333</v>
      </c>
      <c r="R137" s="177">
        <v>0.5</v>
      </c>
      <c r="S137" s="177">
        <v>0.5416666666666666</v>
      </c>
      <c r="T137" s="177">
        <v>0.7083333333333334</v>
      </c>
      <c r="U137" s="175">
        <f t="shared" si="17"/>
        <v>0.3333333333</v>
      </c>
      <c r="W137" s="187">
        <v>11.0</v>
      </c>
      <c r="X137" s="177"/>
      <c r="Y137" s="177"/>
      <c r="Z137" s="177"/>
      <c r="AA137" s="177"/>
      <c r="AB137" s="178">
        <f t="shared" si="18"/>
        <v>0</v>
      </c>
      <c r="AD137" s="55"/>
    </row>
    <row r="138" ht="14.25" customHeight="1">
      <c r="A138" s="159"/>
      <c r="B138" s="188">
        <v>30.0</v>
      </c>
      <c r="C138" s="184">
        <v>0.3125</v>
      </c>
      <c r="D138" s="184">
        <v>0.5</v>
      </c>
      <c r="E138" s="184">
        <v>0.5416666666666666</v>
      </c>
      <c r="F138" s="184">
        <v>0.7083333333333334</v>
      </c>
      <c r="G138" s="178">
        <f t="shared" si="19"/>
        <v>0.3541666667</v>
      </c>
      <c r="H138" s="159"/>
      <c r="I138" s="171">
        <v>17.0</v>
      </c>
      <c r="J138" s="172">
        <v>0.3194444444444444</v>
      </c>
      <c r="K138" s="172">
        <v>0.5</v>
      </c>
      <c r="L138" s="172">
        <v>0.5416666666666666</v>
      </c>
      <c r="M138" s="172">
        <v>0.7083333333333334</v>
      </c>
      <c r="N138" s="174">
        <f t="shared" si="16"/>
        <v>0.3472222222</v>
      </c>
      <c r="O138" s="159"/>
      <c r="P138" s="171">
        <v>13.0</v>
      </c>
      <c r="Q138" s="177">
        <v>0.3333333333333333</v>
      </c>
      <c r="R138" s="177">
        <v>0.5</v>
      </c>
      <c r="S138" s="177">
        <v>0.5416666666666666</v>
      </c>
      <c r="T138" s="177">
        <v>0.7083333333333334</v>
      </c>
      <c r="U138" s="175">
        <f t="shared" si="17"/>
        <v>0.3333333333</v>
      </c>
      <c r="W138" s="187">
        <v>12.0</v>
      </c>
      <c r="X138" s="177"/>
      <c r="Y138" s="177"/>
      <c r="Z138" s="177"/>
      <c r="AA138" s="177"/>
      <c r="AB138" s="178">
        <f t="shared" si="18"/>
        <v>0</v>
      </c>
      <c r="AD138" s="55"/>
    </row>
    <row r="139" ht="14.25" customHeight="1">
      <c r="A139" s="159"/>
      <c r="B139" s="189" t="s">
        <v>17</v>
      </c>
      <c r="C139" s="4"/>
      <c r="D139" s="4"/>
      <c r="E139" s="4"/>
      <c r="F139" s="5"/>
      <c r="G139" s="190">
        <f>SUM(G137:G138)</f>
        <v>0.6875</v>
      </c>
      <c r="H139" s="159"/>
      <c r="I139" s="171">
        <v>18.0</v>
      </c>
      <c r="J139" s="172">
        <v>0.3125</v>
      </c>
      <c r="K139" s="172">
        <v>0.5</v>
      </c>
      <c r="L139" s="180"/>
      <c r="M139" s="180"/>
      <c r="N139" s="174">
        <f t="shared" si="16"/>
        <v>0.1875</v>
      </c>
      <c r="O139" s="159"/>
      <c r="P139" s="171">
        <v>14.0</v>
      </c>
      <c r="Q139" s="180"/>
      <c r="R139" s="180"/>
      <c r="S139" s="180"/>
      <c r="T139" s="180"/>
      <c r="U139" s="175">
        <f t="shared" si="17"/>
        <v>0</v>
      </c>
      <c r="W139" s="187">
        <v>13.0</v>
      </c>
      <c r="X139" s="177"/>
      <c r="Y139" s="177"/>
      <c r="Z139" s="177"/>
      <c r="AA139" s="191"/>
      <c r="AB139" s="178">
        <f t="shared" si="18"/>
        <v>0</v>
      </c>
      <c r="AD139" s="55"/>
      <c r="AG139" s="159"/>
      <c r="AH139" s="159"/>
    </row>
    <row r="140" ht="14.25" customHeight="1">
      <c r="A140" s="159"/>
      <c r="B140" s="159"/>
      <c r="C140" s="159"/>
      <c r="D140" s="159"/>
      <c r="E140" s="159"/>
      <c r="F140" s="159"/>
      <c r="G140" s="159"/>
      <c r="H140" s="159"/>
      <c r="I140" s="171">
        <v>19.0</v>
      </c>
      <c r="J140" s="172">
        <v>0.325</v>
      </c>
      <c r="K140" s="172">
        <v>0.5</v>
      </c>
      <c r="L140" s="172">
        <v>0.5416666666666666</v>
      </c>
      <c r="M140" s="172">
        <v>0.7083333333333334</v>
      </c>
      <c r="N140" s="174">
        <f t="shared" si="16"/>
        <v>0.3416666667</v>
      </c>
      <c r="O140" s="159"/>
      <c r="P140" s="171">
        <v>15.0</v>
      </c>
      <c r="Q140" s="177">
        <v>0.3611111111111111</v>
      </c>
      <c r="R140" s="177">
        <v>0.5</v>
      </c>
      <c r="S140" s="180"/>
      <c r="T140" s="180"/>
      <c r="U140" s="175">
        <f t="shared" si="17"/>
        <v>0.1388888889</v>
      </c>
      <c r="W140" s="187">
        <v>14.0</v>
      </c>
      <c r="X140" s="177"/>
      <c r="Y140" s="177"/>
      <c r="Z140" s="177"/>
      <c r="AA140" s="177"/>
      <c r="AB140" s="178">
        <f t="shared" si="18"/>
        <v>0</v>
      </c>
      <c r="AD140" s="192"/>
      <c r="AE140" s="159"/>
      <c r="AF140" s="159"/>
    </row>
    <row r="141" ht="14.25" customHeight="1">
      <c r="A141" s="159"/>
      <c r="B141" s="193" t="str">
        <f>REPT("█", ROUND((B128/B59)*10,0)) &amp; REPT("░", 10-ROUND((B128/B59)*10,0)) </f>
        <v>███████░░░</v>
      </c>
      <c r="C141" s="30"/>
      <c r="D141" s="30"/>
      <c r="E141" s="194" t="str">
        <f>TEXT(B128/B59, "0.00%")</f>
        <v>74.43%</v>
      </c>
      <c r="F141" s="31"/>
      <c r="G141" s="159"/>
      <c r="H141" s="159"/>
      <c r="I141" s="171">
        <v>20.0</v>
      </c>
      <c r="J141" s="172">
        <v>0.3298611111111111</v>
      </c>
      <c r="K141" s="172">
        <v>0.5</v>
      </c>
      <c r="L141" s="172">
        <v>0.5416666666666666</v>
      </c>
      <c r="M141" s="172">
        <v>0.7083333333333334</v>
      </c>
      <c r="N141" s="174">
        <f t="shared" si="16"/>
        <v>0.3368055556</v>
      </c>
      <c r="O141" s="159"/>
      <c r="P141" s="171">
        <v>16.0</v>
      </c>
      <c r="Q141" s="177">
        <v>0.35347222222222224</v>
      </c>
      <c r="R141" s="177">
        <v>0.5</v>
      </c>
      <c r="S141" s="177">
        <v>0.5416666666666666</v>
      </c>
      <c r="T141" s="177">
        <v>0.7083333333333334</v>
      </c>
      <c r="U141" s="175">
        <f t="shared" si="17"/>
        <v>0.3131944444</v>
      </c>
      <c r="W141" s="187">
        <v>15.0</v>
      </c>
      <c r="X141" s="177"/>
      <c r="Y141" s="177"/>
      <c r="Z141" s="177"/>
      <c r="AA141" s="177"/>
      <c r="AB141" s="178">
        <f t="shared" si="18"/>
        <v>0</v>
      </c>
      <c r="AD141" s="55"/>
    </row>
    <row r="142" ht="14.25" customHeight="1">
      <c r="A142" s="159"/>
      <c r="B142" s="41"/>
      <c r="F142" s="42"/>
      <c r="G142" s="159"/>
      <c r="H142" s="159"/>
      <c r="I142" s="171">
        <v>23.0</v>
      </c>
      <c r="J142" s="180"/>
      <c r="K142" s="180"/>
      <c r="L142" s="172">
        <v>0.5416666666666666</v>
      </c>
      <c r="M142" s="172">
        <v>0.7083333333333334</v>
      </c>
      <c r="N142" s="174">
        <f t="shared" si="16"/>
        <v>0.1666666667</v>
      </c>
      <c r="O142" s="159"/>
      <c r="P142" s="171">
        <v>17.0</v>
      </c>
      <c r="Q142" s="177">
        <v>0.3333333333333333</v>
      </c>
      <c r="R142" s="177">
        <v>0.5</v>
      </c>
      <c r="S142" s="177">
        <v>0.5416666666666666</v>
      </c>
      <c r="T142" s="177">
        <v>0.7083333333333334</v>
      </c>
      <c r="U142" s="175">
        <f t="shared" si="17"/>
        <v>0.3333333333</v>
      </c>
      <c r="W142" s="187">
        <v>16.0</v>
      </c>
      <c r="X142" s="177"/>
      <c r="Y142" s="177"/>
      <c r="Z142" s="177"/>
      <c r="AA142" s="177"/>
      <c r="AB142" s="178">
        <f t="shared" si="18"/>
        <v>0</v>
      </c>
    </row>
    <row r="143" ht="14.25" customHeight="1">
      <c r="A143" s="159"/>
      <c r="B143" s="33"/>
      <c r="C143" s="34"/>
      <c r="D143" s="34"/>
      <c r="E143" s="34"/>
      <c r="F143" s="35"/>
      <c r="G143" s="159"/>
      <c r="H143" s="159"/>
      <c r="I143" s="171">
        <v>24.0</v>
      </c>
      <c r="J143" s="172">
        <v>0.3333333333333333</v>
      </c>
      <c r="K143" s="172">
        <v>0.5</v>
      </c>
      <c r="L143" s="180"/>
      <c r="M143" s="180"/>
      <c r="N143" s="174">
        <f t="shared" si="16"/>
        <v>0.1666666667</v>
      </c>
      <c r="O143" s="159"/>
      <c r="P143" s="171">
        <v>18.0</v>
      </c>
      <c r="Q143" s="180"/>
      <c r="R143" s="180"/>
      <c r="S143" s="180"/>
      <c r="T143" s="180"/>
      <c r="U143" s="175">
        <f t="shared" si="17"/>
        <v>0</v>
      </c>
      <c r="W143" s="187">
        <v>17.0</v>
      </c>
      <c r="X143" s="177"/>
      <c r="Y143" s="177"/>
      <c r="Z143" s="177"/>
      <c r="AA143" s="177"/>
      <c r="AB143" s="178">
        <f t="shared" si="18"/>
        <v>0</v>
      </c>
    </row>
    <row r="144" ht="14.25" customHeight="1">
      <c r="A144" s="159"/>
      <c r="H144" s="159"/>
      <c r="I144" s="171">
        <v>25.0</v>
      </c>
      <c r="J144" s="172">
        <v>0.3263888888888889</v>
      </c>
      <c r="K144" s="172">
        <v>0.4375</v>
      </c>
      <c r="L144" s="172">
        <v>0.5416666666666666</v>
      </c>
      <c r="M144" s="172">
        <v>0.7083333333333334</v>
      </c>
      <c r="N144" s="174">
        <f t="shared" si="16"/>
        <v>0.2777777778</v>
      </c>
      <c r="O144" s="159"/>
      <c r="P144" s="171">
        <v>19.0</v>
      </c>
      <c r="Q144" s="180"/>
      <c r="R144" s="180"/>
      <c r="S144" s="180"/>
      <c r="T144" s="180"/>
      <c r="U144" s="175">
        <f t="shared" si="17"/>
        <v>0</v>
      </c>
      <c r="W144" s="187">
        <v>18.0</v>
      </c>
      <c r="X144" s="177"/>
      <c r="Y144" s="177"/>
      <c r="Z144" s="177"/>
      <c r="AA144" s="177"/>
      <c r="AB144" s="178">
        <f t="shared" si="18"/>
        <v>0</v>
      </c>
    </row>
    <row r="145" ht="14.25" customHeight="1">
      <c r="A145" s="159"/>
      <c r="B145" s="195" t="s">
        <v>27</v>
      </c>
      <c r="C145" s="30"/>
      <c r="D145" s="30"/>
      <c r="E145" s="30"/>
      <c r="F145" s="30"/>
      <c r="G145" s="31"/>
      <c r="H145" s="159"/>
      <c r="I145" s="171">
        <v>26.0</v>
      </c>
      <c r="J145" s="172">
        <v>0.3020833333333333</v>
      </c>
      <c r="K145" s="172">
        <v>0.5</v>
      </c>
      <c r="L145" s="172">
        <v>0.5416666666666666</v>
      </c>
      <c r="M145" s="172">
        <v>0.7083333333333334</v>
      </c>
      <c r="N145" s="174">
        <f t="shared" si="16"/>
        <v>0.3645833333</v>
      </c>
      <c r="O145" s="159"/>
      <c r="P145" s="171">
        <v>20.0</v>
      </c>
      <c r="Q145" s="177">
        <v>0.3333333333333333</v>
      </c>
      <c r="R145" s="177">
        <v>0.5</v>
      </c>
      <c r="S145" s="177">
        <v>0.5416666666666666</v>
      </c>
      <c r="T145" s="177">
        <v>0.7083333333333334</v>
      </c>
      <c r="U145" s="175">
        <f t="shared" si="17"/>
        <v>0.3333333333</v>
      </c>
      <c r="W145" s="187">
        <v>19.0</v>
      </c>
      <c r="X145" s="177"/>
      <c r="Y145" s="177"/>
      <c r="Z145" s="177"/>
      <c r="AA145" s="177"/>
      <c r="AB145" s="178">
        <f t="shared" si="18"/>
        <v>0</v>
      </c>
    </row>
    <row r="146" ht="14.25" customHeight="1">
      <c r="A146" s="159"/>
      <c r="B146" s="33"/>
      <c r="C146" s="34"/>
      <c r="D146" s="34"/>
      <c r="E146" s="34"/>
      <c r="F146" s="34"/>
      <c r="G146" s="35"/>
      <c r="H146" s="159"/>
      <c r="I146" s="171">
        <v>27.0</v>
      </c>
      <c r="J146" s="172">
        <v>0.3263888888888889</v>
      </c>
      <c r="K146" s="172">
        <v>0.5</v>
      </c>
      <c r="L146" s="172">
        <v>0.5416666666666666</v>
      </c>
      <c r="M146" s="172">
        <v>0.7083333333333334</v>
      </c>
      <c r="N146" s="174">
        <f t="shared" si="16"/>
        <v>0.3402777778</v>
      </c>
      <c r="O146" s="159"/>
      <c r="P146" s="171">
        <v>21.0</v>
      </c>
      <c r="Q146" s="177"/>
      <c r="R146" s="177"/>
      <c r="S146" s="177"/>
      <c r="T146" s="177"/>
      <c r="U146" s="175">
        <f t="shared" si="17"/>
        <v>0</v>
      </c>
      <c r="W146" s="187">
        <v>20.0</v>
      </c>
      <c r="X146" s="177"/>
      <c r="Y146" s="177"/>
      <c r="Z146" s="177"/>
      <c r="AA146" s="177"/>
      <c r="AB146" s="178">
        <f t="shared" si="18"/>
        <v>0</v>
      </c>
    </row>
    <row r="147" ht="14.25" customHeight="1">
      <c r="A147" s="159"/>
      <c r="B147" s="196">
        <f>B59-B128</f>
        <v>5.177777778</v>
      </c>
      <c r="C147" s="30"/>
      <c r="D147" s="30"/>
      <c r="E147" s="30"/>
      <c r="F147" s="30"/>
      <c r="G147" s="31"/>
      <c r="H147" s="159"/>
      <c r="I147" s="171">
        <v>22.0</v>
      </c>
      <c r="J147" s="172">
        <v>0.3125</v>
      </c>
      <c r="K147" s="172">
        <v>0.3645833333333333</v>
      </c>
      <c r="L147" s="172">
        <v>0.5416666666666666</v>
      </c>
      <c r="M147" s="172">
        <v>0.7083333333333334</v>
      </c>
      <c r="N147" s="174">
        <f t="shared" si="16"/>
        <v>0.21875</v>
      </c>
      <c r="O147" s="159"/>
      <c r="P147" s="197">
        <v>22.0</v>
      </c>
      <c r="Q147" s="177"/>
      <c r="R147" s="177"/>
      <c r="S147" s="177"/>
      <c r="T147" s="177"/>
      <c r="U147" s="175">
        <f t="shared" si="17"/>
        <v>0</v>
      </c>
      <c r="W147" s="187">
        <v>21.0</v>
      </c>
      <c r="X147" s="177"/>
      <c r="Y147" s="177"/>
      <c r="Z147" s="177"/>
      <c r="AA147" s="177"/>
      <c r="AB147" s="178">
        <f t="shared" si="18"/>
        <v>0</v>
      </c>
    </row>
    <row r="148" ht="14.25" customHeight="1">
      <c r="A148" s="159"/>
      <c r="B148" s="41"/>
      <c r="G148" s="42"/>
      <c r="H148" s="159"/>
      <c r="I148" s="180"/>
      <c r="J148" s="180"/>
      <c r="K148" s="180"/>
      <c r="L148" s="180"/>
      <c r="M148" s="180"/>
      <c r="N148" s="174">
        <v>0.0</v>
      </c>
      <c r="O148" s="159"/>
      <c r="P148" s="198">
        <v>23.0</v>
      </c>
      <c r="Q148" s="177">
        <v>0.32569444444444445</v>
      </c>
      <c r="R148" s="177">
        <v>0.5</v>
      </c>
      <c r="S148" s="177">
        <v>0.5416666666666666</v>
      </c>
      <c r="T148" s="177">
        <v>0.7083333333333334</v>
      </c>
      <c r="U148" s="175">
        <f t="shared" si="17"/>
        <v>0.3409722222</v>
      </c>
      <c r="W148" s="176">
        <v>22.0</v>
      </c>
      <c r="X148" s="177"/>
      <c r="Y148" s="177"/>
      <c r="Z148" s="177"/>
      <c r="AA148" s="177"/>
      <c r="AB148" s="178">
        <f t="shared" si="18"/>
        <v>0</v>
      </c>
    </row>
    <row r="149" ht="14.25" customHeight="1">
      <c r="A149" s="159"/>
      <c r="B149" s="41"/>
      <c r="G149" s="42"/>
      <c r="H149" s="159"/>
      <c r="I149" s="199" t="s">
        <v>17</v>
      </c>
      <c r="J149" s="4"/>
      <c r="K149" s="4"/>
      <c r="L149" s="4"/>
      <c r="M149" s="5"/>
      <c r="N149" s="166">
        <f>sum(N127:N147)</f>
        <v>5.909027778</v>
      </c>
      <c r="O149" s="159"/>
      <c r="P149" s="198">
        <v>24.0</v>
      </c>
      <c r="Q149" s="177">
        <v>0.3298611111111111</v>
      </c>
      <c r="R149" s="177">
        <v>0.5</v>
      </c>
      <c r="S149" s="177">
        <v>0.5416666666666666</v>
      </c>
      <c r="T149" s="177">
        <v>0.7083333333333334</v>
      </c>
      <c r="U149" s="175">
        <f t="shared" si="17"/>
        <v>0.3368055556</v>
      </c>
      <c r="W149" s="176">
        <v>23.0</v>
      </c>
      <c r="X149" s="177"/>
      <c r="Y149" s="177"/>
      <c r="Z149" s="177"/>
      <c r="AA149" s="177"/>
      <c r="AB149" s="178">
        <f t="shared" si="18"/>
        <v>0</v>
      </c>
    </row>
    <row r="150" ht="14.25" customHeight="1">
      <c r="A150" s="159"/>
      <c r="B150" s="33"/>
      <c r="C150" s="34"/>
      <c r="D150" s="34"/>
      <c r="E150" s="34"/>
      <c r="F150" s="34"/>
      <c r="G150" s="35"/>
      <c r="H150" s="159"/>
      <c r="I150" s="55"/>
      <c r="O150" s="159"/>
      <c r="P150" s="198">
        <v>25.0</v>
      </c>
      <c r="Q150" s="177">
        <v>0.3298611111111111</v>
      </c>
      <c r="R150" s="177">
        <v>0.5</v>
      </c>
      <c r="S150" s="177">
        <v>0.5416666666666666</v>
      </c>
      <c r="T150" s="177">
        <v>0.7083333333333334</v>
      </c>
      <c r="U150" s="175">
        <f t="shared" si="17"/>
        <v>0.3368055556</v>
      </c>
      <c r="W150" s="176">
        <v>24.0</v>
      </c>
      <c r="X150" s="177"/>
      <c r="Y150" s="177"/>
      <c r="Z150" s="177"/>
      <c r="AA150" s="177"/>
      <c r="AB150" s="178">
        <f t="shared" si="18"/>
        <v>0</v>
      </c>
    </row>
    <row r="151" ht="14.25" customHeight="1">
      <c r="H151" s="159"/>
      <c r="I151" s="55"/>
      <c r="P151" s="198">
        <v>26.0</v>
      </c>
      <c r="Q151" s="177">
        <v>0.3298611111111111</v>
      </c>
      <c r="R151" s="177">
        <v>0.5</v>
      </c>
      <c r="S151" s="177">
        <v>0.5416666666666666</v>
      </c>
      <c r="T151" s="177">
        <v>0.7083333333333334</v>
      </c>
      <c r="U151" s="175">
        <f t="shared" si="17"/>
        <v>0.3368055556</v>
      </c>
      <c r="W151" s="176">
        <v>25.0</v>
      </c>
      <c r="X151" s="177"/>
      <c r="Y151" s="177"/>
      <c r="Z151" s="177"/>
      <c r="AA151" s="177"/>
      <c r="AB151" s="178">
        <f t="shared" si="18"/>
        <v>0</v>
      </c>
    </row>
    <row r="152" ht="14.25" customHeight="1">
      <c r="H152" s="159"/>
      <c r="I152" s="192"/>
      <c r="J152" s="159"/>
      <c r="K152" s="159"/>
      <c r="L152" s="159"/>
      <c r="M152" s="159"/>
      <c r="N152" s="159"/>
      <c r="P152" s="198">
        <v>27.0</v>
      </c>
      <c r="Q152" s="177">
        <v>0.3284722222222222</v>
      </c>
      <c r="R152" s="177">
        <v>0.5</v>
      </c>
      <c r="S152" s="177">
        <v>0.5416666666666666</v>
      </c>
      <c r="T152" s="177">
        <v>0.7083333333333334</v>
      </c>
      <c r="U152" s="175">
        <f t="shared" si="17"/>
        <v>0.3381944444</v>
      </c>
      <c r="W152" s="176">
        <v>26.0</v>
      </c>
      <c r="X152" s="177"/>
      <c r="Y152" s="177"/>
      <c r="Z152" s="177"/>
      <c r="AA152" s="177"/>
      <c r="AB152" s="178">
        <f t="shared" si="18"/>
        <v>0</v>
      </c>
    </row>
    <row r="153" ht="14.25" customHeight="1">
      <c r="H153" s="159"/>
      <c r="I153" s="55"/>
      <c r="P153" s="198">
        <v>28.0</v>
      </c>
      <c r="Q153" s="177"/>
      <c r="R153" s="177"/>
      <c r="S153" s="177"/>
      <c r="T153" s="177"/>
      <c r="U153" s="175">
        <f t="shared" si="17"/>
        <v>0</v>
      </c>
      <c r="W153" s="176">
        <v>27.0</v>
      </c>
      <c r="X153" s="177"/>
      <c r="Y153" s="177"/>
      <c r="Z153" s="177"/>
      <c r="AA153" s="177"/>
      <c r="AB153" s="178">
        <f t="shared" si="18"/>
        <v>0</v>
      </c>
    </row>
    <row r="154" ht="14.25" customHeight="1">
      <c r="P154" s="198">
        <v>29.0</v>
      </c>
      <c r="Q154" s="177"/>
      <c r="R154" s="177"/>
      <c r="S154" s="177"/>
      <c r="T154" s="177"/>
      <c r="U154" s="175">
        <f t="shared" si="17"/>
        <v>0</v>
      </c>
      <c r="W154" s="176">
        <v>28.0</v>
      </c>
      <c r="X154" s="177"/>
      <c r="Y154" s="177"/>
      <c r="Z154" s="177"/>
      <c r="AA154" s="177"/>
      <c r="AB154" s="178">
        <f t="shared" si="18"/>
        <v>0</v>
      </c>
    </row>
    <row r="155" ht="14.25" customHeight="1">
      <c r="P155" s="198">
        <v>30.0</v>
      </c>
      <c r="Q155" s="177"/>
      <c r="R155" s="177"/>
      <c r="S155" s="177"/>
      <c r="T155" s="177"/>
      <c r="U155" s="175">
        <f t="shared" si="17"/>
        <v>0</v>
      </c>
      <c r="W155" s="176">
        <v>29.0</v>
      </c>
      <c r="X155" s="177"/>
      <c r="Y155" s="177"/>
      <c r="Z155" s="177"/>
      <c r="AA155" s="177"/>
      <c r="AB155" s="178">
        <f t="shared" si="18"/>
        <v>0</v>
      </c>
    </row>
    <row r="156" ht="14.25" customHeight="1">
      <c r="P156" s="198">
        <v>31.0</v>
      </c>
      <c r="Q156" s="177">
        <v>0.33194444444444443</v>
      </c>
      <c r="R156" s="177">
        <v>0.5</v>
      </c>
      <c r="S156" s="177">
        <v>0.5416666666666666</v>
      </c>
      <c r="T156" s="177">
        <v>0.7083333333333334</v>
      </c>
      <c r="U156" s="175">
        <f t="shared" si="17"/>
        <v>0.3347222222</v>
      </c>
      <c r="W156" s="176">
        <v>30.0</v>
      </c>
      <c r="X156" s="177"/>
      <c r="Y156" s="177"/>
      <c r="Z156" s="177"/>
      <c r="AA156" s="177"/>
      <c r="AB156" s="178">
        <f t="shared" si="18"/>
        <v>0</v>
      </c>
    </row>
    <row r="157" ht="14.25" customHeight="1">
      <c r="P157" s="199" t="s">
        <v>17</v>
      </c>
      <c r="Q157" s="4"/>
      <c r="R157" s="4"/>
      <c r="S157" s="4"/>
      <c r="T157" s="5"/>
      <c r="U157" s="166">
        <f>sum(U127:U156)</f>
        <v>6.503472222</v>
      </c>
      <c r="W157" s="200" t="s">
        <v>17</v>
      </c>
      <c r="X157" s="4"/>
      <c r="Y157" s="4"/>
      <c r="Z157" s="4"/>
      <c r="AA157" s="5"/>
      <c r="AB157" s="201">
        <f>SUM(AB127:AB156)</f>
        <v>1.972222222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>
      <c r="B168" s="202" t="s">
        <v>39</v>
      </c>
      <c r="C168" s="30"/>
      <c r="D168" s="30"/>
      <c r="E168" s="30"/>
      <c r="F168" s="30"/>
      <c r="G168" s="31"/>
      <c r="H168" s="159"/>
      <c r="I168" s="203" t="s">
        <v>0</v>
      </c>
      <c r="J168" s="204" t="s">
        <v>3</v>
      </c>
      <c r="K168" s="4"/>
      <c r="L168" s="4"/>
      <c r="M168" s="5"/>
      <c r="N168" s="203" t="s">
        <v>2</v>
      </c>
      <c r="O168" s="159"/>
      <c r="P168" s="203" t="s">
        <v>0</v>
      </c>
      <c r="Q168" s="204" t="s">
        <v>4</v>
      </c>
      <c r="R168" s="4"/>
      <c r="S168" s="4"/>
      <c r="T168" s="5"/>
      <c r="U168" s="203" t="s">
        <v>2</v>
      </c>
      <c r="W168" s="203" t="s">
        <v>0</v>
      </c>
      <c r="X168" s="205" t="s">
        <v>40</v>
      </c>
      <c r="Y168" s="4"/>
      <c r="Z168" s="4"/>
      <c r="AA168" s="5"/>
      <c r="AB168" s="203" t="s">
        <v>2</v>
      </c>
      <c r="AD168" s="206" t="s">
        <v>37</v>
      </c>
      <c r="AE168" s="206" t="s">
        <v>9</v>
      </c>
      <c r="AF168" s="206" t="s">
        <v>10</v>
      </c>
    </row>
    <row r="169" ht="14.25" customHeight="1">
      <c r="B169" s="33"/>
      <c r="C169" s="34"/>
      <c r="D169" s="34"/>
      <c r="E169" s="34"/>
      <c r="F169" s="34"/>
      <c r="G169" s="35"/>
      <c r="H169" s="159"/>
      <c r="I169" s="10"/>
      <c r="J169" s="204" t="s">
        <v>6</v>
      </c>
      <c r="K169" s="5"/>
      <c r="L169" s="204" t="s">
        <v>7</v>
      </c>
      <c r="M169" s="5"/>
      <c r="N169" s="10"/>
      <c r="O169" s="159"/>
      <c r="P169" s="10"/>
      <c r="Q169" s="204" t="s">
        <v>6</v>
      </c>
      <c r="R169" s="5"/>
      <c r="S169" s="204" t="s">
        <v>7</v>
      </c>
      <c r="T169" s="5"/>
      <c r="U169" s="10"/>
      <c r="W169" s="10"/>
      <c r="X169" s="204" t="s">
        <v>6</v>
      </c>
      <c r="Y169" s="5"/>
      <c r="Z169" s="204" t="s">
        <v>7</v>
      </c>
      <c r="AA169" s="5"/>
      <c r="AB169" s="10"/>
      <c r="AD169" s="125" t="s">
        <v>13</v>
      </c>
      <c r="AE169" s="207" t="s">
        <v>14</v>
      </c>
      <c r="AF169" s="208">
        <f>sum(G181:G182)</f>
        <v>0.6715277778</v>
      </c>
    </row>
    <row r="170" ht="14.25" customHeight="1">
      <c r="B170" s="209">
        <f>SUM(G183+N193+U201+ AB201)</f>
        <v>20.26666667</v>
      </c>
      <c r="H170" s="159"/>
      <c r="I170" s="13"/>
      <c r="J170" s="210" t="s">
        <v>11</v>
      </c>
      <c r="K170" s="210" t="s">
        <v>12</v>
      </c>
      <c r="L170" s="210" t="s">
        <v>11</v>
      </c>
      <c r="M170" s="210" t="s">
        <v>12</v>
      </c>
      <c r="N170" s="13"/>
      <c r="O170" s="159"/>
      <c r="P170" s="13"/>
      <c r="Q170" s="210" t="s">
        <v>11</v>
      </c>
      <c r="R170" s="210" t="s">
        <v>12</v>
      </c>
      <c r="S170" s="210" t="s">
        <v>11</v>
      </c>
      <c r="T170" s="210" t="s">
        <v>12</v>
      </c>
      <c r="U170" s="13"/>
      <c r="W170" s="13"/>
      <c r="X170" s="210" t="s">
        <v>11</v>
      </c>
      <c r="Y170" s="210" t="s">
        <v>12</v>
      </c>
      <c r="Z170" s="210" t="s">
        <v>11</v>
      </c>
      <c r="AA170" s="210" t="s">
        <v>12</v>
      </c>
      <c r="AB170" s="13"/>
      <c r="AD170" s="125" t="s">
        <v>15</v>
      </c>
      <c r="AE170" s="211">
        <v>46037.0</v>
      </c>
      <c r="AF170" s="208">
        <f>sum(N171:N181)</f>
        <v>3.760416667</v>
      </c>
    </row>
    <row r="171" ht="14.25" customHeight="1">
      <c r="H171" s="159"/>
      <c r="I171" s="212">
        <v>2.0</v>
      </c>
      <c r="J171" s="213">
        <v>0.30972222222222223</v>
      </c>
      <c r="K171" s="214">
        <v>0.5</v>
      </c>
      <c r="L171" s="213">
        <v>0.5416666666666666</v>
      </c>
      <c r="M171" s="214">
        <v>0.7083333333333334</v>
      </c>
      <c r="N171" s="215">
        <f t="shared" ref="N171:N192" si="20">SUM(K171-J171)+M171-L171</f>
        <v>0.3569444444</v>
      </c>
      <c r="O171" s="159"/>
      <c r="P171" s="212">
        <v>2.0</v>
      </c>
      <c r="Q171" s="213">
        <v>0.3229166666666667</v>
      </c>
      <c r="R171" s="214">
        <v>0.5</v>
      </c>
      <c r="S171" s="214">
        <v>0.5416666666666666</v>
      </c>
      <c r="T171" s="214">
        <v>0.7083333333333334</v>
      </c>
      <c r="U171" s="216">
        <f t="shared" ref="U171:U200" si="21">sum(R171-Q171)+T171-S171</f>
        <v>0.34375</v>
      </c>
      <c r="W171" s="212">
        <v>6.0</v>
      </c>
      <c r="X171" s="217">
        <v>0.2951388888888889</v>
      </c>
      <c r="Y171" s="218">
        <v>0.5</v>
      </c>
      <c r="Z171" s="218">
        <v>0.5416666666666666</v>
      </c>
      <c r="AA171" s="219">
        <v>0.75</v>
      </c>
      <c r="AB171" s="216">
        <f t="shared" ref="AB171:AB200" si="22">sum(Y171-X171)+AA171-Z171</f>
        <v>0.4131944444</v>
      </c>
      <c r="AD171" s="125" t="s">
        <v>15</v>
      </c>
      <c r="AE171" s="207" t="s">
        <v>16</v>
      </c>
      <c r="AF171" s="208">
        <f>sum(N182:N192)</f>
        <v>3.671527778</v>
      </c>
    </row>
    <row r="172" ht="14.25" customHeight="1">
      <c r="H172" s="159"/>
      <c r="I172" s="212">
        <v>3.0</v>
      </c>
      <c r="J172" s="213">
        <v>0.3229166666666667</v>
      </c>
      <c r="K172" s="214">
        <v>0.5</v>
      </c>
      <c r="L172" s="213">
        <v>0.5416666666666666</v>
      </c>
      <c r="M172" s="214">
        <v>0.7083333333333334</v>
      </c>
      <c r="N172" s="215">
        <f t="shared" si="20"/>
        <v>0.34375</v>
      </c>
      <c r="O172" s="159"/>
      <c r="P172" s="212">
        <v>3.0</v>
      </c>
      <c r="Q172" s="213">
        <v>0.3284722222222222</v>
      </c>
      <c r="R172" s="214">
        <v>0.5</v>
      </c>
      <c r="S172" s="214">
        <v>0.5416666666666666</v>
      </c>
      <c r="T172" s="214">
        <v>0.7083333333333334</v>
      </c>
      <c r="U172" s="216">
        <f t="shared" si="21"/>
        <v>0.3381944444</v>
      </c>
      <c r="W172" s="212">
        <v>7.0</v>
      </c>
      <c r="X172" s="217">
        <v>0.2965277777777778</v>
      </c>
      <c r="Y172" s="218">
        <v>0.5</v>
      </c>
      <c r="Z172" s="218">
        <v>0.5416666666666666</v>
      </c>
      <c r="AA172" s="219">
        <v>0.75</v>
      </c>
      <c r="AB172" s="216">
        <f t="shared" si="22"/>
        <v>0.4118055556</v>
      </c>
      <c r="AD172" s="125" t="s">
        <v>18</v>
      </c>
      <c r="AE172" s="211">
        <v>46037.0</v>
      </c>
      <c r="AF172" s="208">
        <f>sum(U171:U184)</f>
        <v>3.740972222</v>
      </c>
    </row>
    <row r="173" ht="14.25" customHeight="1">
      <c r="H173" s="159"/>
      <c r="I173" s="212">
        <v>4.0</v>
      </c>
      <c r="J173" s="213">
        <v>0.3125</v>
      </c>
      <c r="K173" s="214">
        <v>0.5</v>
      </c>
      <c r="L173" s="214">
        <v>0.5416666666666666</v>
      </c>
      <c r="M173" s="214">
        <v>0.7083333333333334</v>
      </c>
      <c r="N173" s="215">
        <f t="shared" si="20"/>
        <v>0.3541666667</v>
      </c>
      <c r="O173" s="159"/>
      <c r="P173" s="212">
        <v>4.0</v>
      </c>
      <c r="Q173" s="213">
        <v>0.3215277777777778</v>
      </c>
      <c r="R173" s="214">
        <v>0.5</v>
      </c>
      <c r="S173" s="214">
        <v>0.5416666666666666</v>
      </c>
      <c r="T173" s="214">
        <v>0.7083333333333334</v>
      </c>
      <c r="U173" s="216">
        <f t="shared" si="21"/>
        <v>0.3451388889</v>
      </c>
      <c r="W173" s="212">
        <v>8.0</v>
      </c>
      <c r="X173" s="217">
        <v>0.2986111111111111</v>
      </c>
      <c r="Y173" s="218">
        <v>0.5</v>
      </c>
      <c r="Z173" s="218">
        <v>0.5416666666666666</v>
      </c>
      <c r="AA173" s="219">
        <v>0.7083333333333334</v>
      </c>
      <c r="AB173" s="216">
        <f t="shared" si="22"/>
        <v>0.3680555556</v>
      </c>
      <c r="AD173" s="125" t="s">
        <v>18</v>
      </c>
      <c r="AE173" s="207" t="s">
        <v>19</v>
      </c>
      <c r="AF173" s="208">
        <f>sum(U185:U200)</f>
        <v>3.379861111</v>
      </c>
    </row>
    <row r="174" ht="14.25" customHeight="1">
      <c r="A174" s="159"/>
      <c r="H174" s="159"/>
      <c r="I174" s="212">
        <v>5.0</v>
      </c>
      <c r="J174" s="213">
        <v>0.3298611111111111</v>
      </c>
      <c r="K174" s="214">
        <v>0.5</v>
      </c>
      <c r="L174" s="214">
        <v>0.5416666666666666</v>
      </c>
      <c r="M174" s="214">
        <v>0.7083333333333334</v>
      </c>
      <c r="N174" s="215">
        <f t="shared" si="20"/>
        <v>0.3368055556</v>
      </c>
      <c r="O174" s="159"/>
      <c r="P174" s="212">
        <v>5.0</v>
      </c>
      <c r="Q174" s="213">
        <v>0.3215277777777778</v>
      </c>
      <c r="R174" s="214">
        <v>0.5</v>
      </c>
      <c r="S174" s="214">
        <v>0.5416666666666666</v>
      </c>
      <c r="T174" s="214">
        <v>0.7083333333333334</v>
      </c>
      <c r="U174" s="216">
        <f t="shared" si="21"/>
        <v>0.3451388889</v>
      </c>
      <c r="W174" s="212">
        <v>9.0</v>
      </c>
      <c r="X174" s="217">
        <v>0.2951388888888889</v>
      </c>
      <c r="Y174" s="218">
        <v>0.5</v>
      </c>
      <c r="Z174" s="218">
        <v>0.5416666666666666</v>
      </c>
      <c r="AA174" s="219">
        <v>0.7083333333333334</v>
      </c>
      <c r="AB174" s="216">
        <f t="shared" si="22"/>
        <v>0.3715277778</v>
      </c>
      <c r="AD174" s="125" t="s">
        <v>5</v>
      </c>
      <c r="AE174" s="211">
        <v>46037.0</v>
      </c>
      <c r="AF174" s="208">
        <f>sum(AB171:AB180)</f>
        <v>3.525</v>
      </c>
    </row>
    <row r="175" ht="14.25" customHeight="1">
      <c r="A175" s="159"/>
      <c r="H175" s="159"/>
      <c r="I175" s="212">
        <v>6.0</v>
      </c>
      <c r="J175" s="213">
        <v>0.3229166666666667</v>
      </c>
      <c r="K175" s="214">
        <v>0.5</v>
      </c>
      <c r="L175" s="214">
        <v>0.5416666666666666</v>
      </c>
      <c r="M175" s="214">
        <v>0.7083333333333334</v>
      </c>
      <c r="N175" s="215">
        <f t="shared" si="20"/>
        <v>0.34375</v>
      </c>
      <c r="O175" s="159"/>
      <c r="P175" s="212">
        <v>6.0</v>
      </c>
      <c r="Q175" s="218">
        <v>0.3298611111111111</v>
      </c>
      <c r="R175" s="218">
        <v>0.5</v>
      </c>
      <c r="S175" s="218">
        <v>0.5416666666666666</v>
      </c>
      <c r="T175" s="218">
        <v>0.7083333333333334</v>
      </c>
      <c r="U175" s="216">
        <f t="shared" si="21"/>
        <v>0.3368055556</v>
      </c>
      <c r="W175" s="212">
        <v>10.0</v>
      </c>
      <c r="X175" s="217">
        <v>0.3138888888888889</v>
      </c>
      <c r="Y175" s="218">
        <v>0.5</v>
      </c>
      <c r="Z175" s="218">
        <v>0.5416666666666666</v>
      </c>
      <c r="AA175" s="219">
        <v>0.7083333333333334</v>
      </c>
      <c r="AB175" s="216">
        <f t="shared" si="22"/>
        <v>0.3527777778</v>
      </c>
      <c r="AD175" s="125" t="s">
        <v>5</v>
      </c>
      <c r="AE175" s="207" t="s">
        <v>21</v>
      </c>
      <c r="AF175" s="208">
        <f>sum(AB181:AB200)</f>
        <v>1.517361111</v>
      </c>
    </row>
    <row r="176" ht="14.25" customHeight="1">
      <c r="A176" s="159"/>
      <c r="H176" s="159"/>
      <c r="I176" s="220">
        <v>9.0</v>
      </c>
      <c r="J176" s="213">
        <v>0.33194444444444443</v>
      </c>
      <c r="K176" s="214">
        <v>0.5</v>
      </c>
      <c r="L176" s="214">
        <v>0.5416666666666666</v>
      </c>
      <c r="M176" s="214">
        <v>0.7083333333333334</v>
      </c>
      <c r="N176" s="215">
        <f t="shared" si="20"/>
        <v>0.3347222222</v>
      </c>
      <c r="O176" s="159"/>
      <c r="P176" s="212">
        <v>7.0</v>
      </c>
      <c r="Q176" s="221"/>
      <c r="R176" s="221"/>
      <c r="S176" s="221"/>
      <c r="T176" s="221"/>
      <c r="U176" s="216">
        <f t="shared" si="21"/>
        <v>0</v>
      </c>
      <c r="W176" s="212">
        <v>11.0</v>
      </c>
      <c r="X176" s="217">
        <v>0.2986111111111111</v>
      </c>
      <c r="Y176" s="218">
        <v>0.5</v>
      </c>
      <c r="Z176" s="218">
        <v>0.5416666666666666</v>
      </c>
      <c r="AA176" s="219">
        <v>0.7083333333333334</v>
      </c>
      <c r="AB176" s="216">
        <f t="shared" si="22"/>
        <v>0.3680555556</v>
      </c>
      <c r="AD176" s="222"/>
      <c r="AE176" s="222"/>
      <c r="AF176" s="222"/>
    </row>
    <row r="177" ht="14.25" customHeight="1">
      <c r="A177" s="159"/>
      <c r="H177" s="159"/>
      <c r="I177" s="212">
        <v>10.0</v>
      </c>
      <c r="J177" s="213">
        <v>0.32708333333333334</v>
      </c>
      <c r="K177" s="214">
        <v>0.5</v>
      </c>
      <c r="L177" s="214">
        <v>0.5416666666666666</v>
      </c>
      <c r="M177" s="214">
        <v>0.7083333333333334</v>
      </c>
      <c r="N177" s="215">
        <f t="shared" si="20"/>
        <v>0.3395833333</v>
      </c>
      <c r="O177" s="159"/>
      <c r="P177" s="212">
        <v>8.0</v>
      </c>
      <c r="Q177" s="213"/>
      <c r="R177" s="213"/>
      <c r="S177" s="213"/>
      <c r="T177" s="213"/>
      <c r="U177" s="216">
        <f t="shared" si="21"/>
        <v>0</v>
      </c>
      <c r="W177" s="212">
        <v>12.0</v>
      </c>
      <c r="X177" s="217"/>
      <c r="Y177" s="218"/>
      <c r="Z177" s="218"/>
      <c r="AA177" s="219"/>
      <c r="AB177" s="216">
        <f t="shared" si="22"/>
        <v>0</v>
      </c>
      <c r="AD177" s="222"/>
      <c r="AE177" s="222"/>
      <c r="AF177" s="222"/>
    </row>
    <row r="178" ht="14.25" customHeight="1">
      <c r="A178" s="159"/>
      <c r="B178" s="223" t="s">
        <v>0</v>
      </c>
      <c r="C178" s="224" t="s">
        <v>1</v>
      </c>
      <c r="D178" s="4"/>
      <c r="E178" s="4"/>
      <c r="F178" s="5"/>
      <c r="G178" s="223" t="s">
        <v>2</v>
      </c>
      <c r="H178" s="159"/>
      <c r="I178" s="212">
        <v>11.0</v>
      </c>
      <c r="J178" s="213">
        <v>0.3263888888888889</v>
      </c>
      <c r="K178" s="214">
        <v>0.5</v>
      </c>
      <c r="L178" s="214">
        <v>0.5416666666666666</v>
      </c>
      <c r="M178" s="214">
        <v>0.7083333333333334</v>
      </c>
      <c r="N178" s="215">
        <f t="shared" si="20"/>
        <v>0.3402777778</v>
      </c>
      <c r="O178" s="159"/>
      <c r="P178" s="212">
        <v>9.0</v>
      </c>
      <c r="Q178" s="213">
        <v>0.3298611111111111</v>
      </c>
      <c r="R178" s="213">
        <v>0.5</v>
      </c>
      <c r="S178" s="213">
        <v>0.5416666666666666</v>
      </c>
      <c r="T178" s="213">
        <v>0.7083333333333334</v>
      </c>
      <c r="U178" s="216">
        <f t="shared" si="21"/>
        <v>0.3368055556</v>
      </c>
      <c r="W178" s="212">
        <v>13.0</v>
      </c>
      <c r="X178" s="217">
        <v>0.2951388888888889</v>
      </c>
      <c r="Y178" s="218">
        <v>0.5</v>
      </c>
      <c r="Z178" s="218">
        <v>0.5416666666666666</v>
      </c>
      <c r="AA178" s="219">
        <v>0.75</v>
      </c>
      <c r="AB178" s="216">
        <f t="shared" si="22"/>
        <v>0.4131944444</v>
      </c>
      <c r="AD178" s="222"/>
      <c r="AE178" s="225" t="s">
        <v>17</v>
      </c>
      <c r="AF178" s="208">
        <f>sum(AF169:AF175)</f>
        <v>20.26666667</v>
      </c>
    </row>
    <row r="179" ht="14.25" customHeight="1">
      <c r="A179" s="159"/>
      <c r="B179" s="10"/>
      <c r="C179" s="224" t="s">
        <v>6</v>
      </c>
      <c r="D179" s="5"/>
      <c r="E179" s="224" t="s">
        <v>7</v>
      </c>
      <c r="F179" s="5"/>
      <c r="G179" s="10"/>
      <c r="H179" s="159"/>
      <c r="I179" s="212">
        <v>12.0</v>
      </c>
      <c r="J179" s="213">
        <v>0.3298611111111111</v>
      </c>
      <c r="K179" s="214">
        <v>0.5</v>
      </c>
      <c r="L179" s="214">
        <v>0.5416666666666666</v>
      </c>
      <c r="M179" s="214">
        <v>0.7083333333333334</v>
      </c>
      <c r="N179" s="215">
        <f t="shared" si="20"/>
        <v>0.3368055556</v>
      </c>
      <c r="O179" s="159"/>
      <c r="P179" s="212">
        <v>10.0</v>
      </c>
      <c r="Q179" s="213">
        <v>0.3263888888888889</v>
      </c>
      <c r="R179" s="213">
        <v>0.5</v>
      </c>
      <c r="S179" s="213">
        <v>0.5416666666666666</v>
      </c>
      <c r="T179" s="213">
        <v>0.7083333333333334</v>
      </c>
      <c r="U179" s="216">
        <f t="shared" si="21"/>
        <v>0.3402777778</v>
      </c>
      <c r="W179" s="212">
        <v>14.0</v>
      </c>
      <c r="X179" s="217">
        <v>0.2951388888888889</v>
      </c>
      <c r="Y179" s="218">
        <v>0.5</v>
      </c>
      <c r="Z179" s="218">
        <v>0.5416666666666666</v>
      </c>
      <c r="AA179" s="219">
        <v>0.75</v>
      </c>
      <c r="AB179" s="216">
        <f t="shared" si="22"/>
        <v>0.4131944444</v>
      </c>
      <c r="AD179" s="226"/>
      <c r="AE179" s="226"/>
      <c r="AF179" s="226"/>
    </row>
    <row r="180" ht="14.25" customHeight="1">
      <c r="A180" s="159"/>
      <c r="B180" s="13"/>
      <c r="C180" s="227" t="s">
        <v>11</v>
      </c>
      <c r="D180" s="227" t="s">
        <v>12</v>
      </c>
      <c r="E180" s="227" t="s">
        <v>11</v>
      </c>
      <c r="F180" s="227" t="s">
        <v>12</v>
      </c>
      <c r="G180" s="13"/>
      <c r="H180" s="159"/>
      <c r="I180" s="212">
        <v>13.0</v>
      </c>
      <c r="J180" s="213">
        <v>0.3333333333333333</v>
      </c>
      <c r="K180" s="214">
        <v>0.5</v>
      </c>
      <c r="L180" s="214">
        <v>0.5416666666666666</v>
      </c>
      <c r="M180" s="214">
        <v>0.7083333333333334</v>
      </c>
      <c r="N180" s="215">
        <f t="shared" si="20"/>
        <v>0.3333333333</v>
      </c>
      <c r="O180" s="159"/>
      <c r="P180" s="212">
        <v>11.0</v>
      </c>
      <c r="Q180" s="217">
        <v>0.3263888888888889</v>
      </c>
      <c r="R180" s="217">
        <v>0.5</v>
      </c>
      <c r="S180" s="217">
        <v>0.5416666666666666</v>
      </c>
      <c r="T180" s="217">
        <v>0.7083333333333334</v>
      </c>
      <c r="U180" s="216">
        <f t="shared" si="21"/>
        <v>0.3402777778</v>
      </c>
      <c r="W180" s="212">
        <v>15.0</v>
      </c>
      <c r="X180" s="217">
        <v>0.2951388888888889</v>
      </c>
      <c r="Y180" s="218">
        <v>0.5</v>
      </c>
      <c r="Z180" s="218">
        <v>0.5416666666666666</v>
      </c>
      <c r="AA180" s="219">
        <v>0.75</v>
      </c>
      <c r="AB180" s="216">
        <f t="shared" si="22"/>
        <v>0.4131944444</v>
      </c>
    </row>
    <row r="181" ht="14.25" customHeight="1">
      <c r="A181" s="159"/>
      <c r="B181" s="212">
        <v>29.0</v>
      </c>
      <c r="C181" s="214">
        <v>0.3333333333333333</v>
      </c>
      <c r="D181" s="214">
        <v>0.5</v>
      </c>
      <c r="E181" s="214">
        <v>0.5416666666666666</v>
      </c>
      <c r="F181" s="214">
        <v>0.7083333333333334</v>
      </c>
      <c r="G181" s="215">
        <v>0.3333333333333333</v>
      </c>
      <c r="H181" s="159"/>
      <c r="I181" s="212">
        <v>14.0</v>
      </c>
      <c r="J181" s="213">
        <v>0.3263888888888889</v>
      </c>
      <c r="K181" s="214">
        <v>0.5</v>
      </c>
      <c r="L181" s="214">
        <v>0.5416666666666666</v>
      </c>
      <c r="M181" s="214">
        <v>0.7083333333333334</v>
      </c>
      <c r="N181" s="215">
        <f t="shared" si="20"/>
        <v>0.3402777778</v>
      </c>
      <c r="O181" s="159"/>
      <c r="P181" s="212">
        <v>12.0</v>
      </c>
      <c r="Q181" s="219">
        <v>0.3298611111111111</v>
      </c>
      <c r="R181" s="218">
        <v>0.5</v>
      </c>
      <c r="S181" s="213">
        <v>0.5416666666666666</v>
      </c>
      <c r="T181" s="213">
        <v>0.7083333333333334</v>
      </c>
      <c r="U181" s="216">
        <f t="shared" si="21"/>
        <v>0.3368055556</v>
      </c>
      <c r="W181" s="212">
        <v>16.0</v>
      </c>
      <c r="X181" s="217">
        <v>0.2951388888888889</v>
      </c>
      <c r="Y181" s="218">
        <v>0.5</v>
      </c>
      <c r="Z181" s="218">
        <v>0.5416666666666666</v>
      </c>
      <c r="AA181" s="219">
        <v>0.75</v>
      </c>
      <c r="AB181" s="216">
        <f t="shared" si="22"/>
        <v>0.4131944444</v>
      </c>
    </row>
    <row r="182" ht="14.25" customHeight="1">
      <c r="A182" s="159"/>
      <c r="B182" s="212">
        <v>30.0</v>
      </c>
      <c r="C182" s="213">
        <v>0.32222222222222224</v>
      </c>
      <c r="D182" s="214">
        <v>0.5</v>
      </c>
      <c r="E182" s="214">
        <v>0.5416666666666666</v>
      </c>
      <c r="F182" s="214">
        <v>0.7083333333333334</v>
      </c>
      <c r="G182" s="215">
        <v>0.33819444444444446</v>
      </c>
      <c r="H182" s="159"/>
      <c r="I182" s="212">
        <v>16.0</v>
      </c>
      <c r="J182" s="213">
        <v>0.32916666666666666</v>
      </c>
      <c r="K182" s="214">
        <v>0.5</v>
      </c>
      <c r="L182" s="214">
        <v>0.5416666666666666</v>
      </c>
      <c r="M182" s="214">
        <v>0.7083333333333334</v>
      </c>
      <c r="N182" s="215">
        <f t="shared" si="20"/>
        <v>0.3375</v>
      </c>
      <c r="O182" s="159"/>
      <c r="P182" s="212">
        <v>13.0</v>
      </c>
      <c r="Q182" s="219">
        <v>0.32916666666666666</v>
      </c>
      <c r="R182" s="218">
        <v>0.5</v>
      </c>
      <c r="S182" s="213">
        <v>0.5416666666666666</v>
      </c>
      <c r="T182" s="213">
        <v>0.7083333333333334</v>
      </c>
      <c r="U182" s="216">
        <f t="shared" si="21"/>
        <v>0.3375</v>
      </c>
      <c r="W182" s="212">
        <v>17.0</v>
      </c>
      <c r="X182" s="217">
        <v>0.2986111111111111</v>
      </c>
      <c r="Y182" s="218">
        <v>0.5</v>
      </c>
      <c r="Z182" s="218">
        <v>0.5416666666666666</v>
      </c>
      <c r="AA182" s="219">
        <v>0.7083333333333334</v>
      </c>
      <c r="AB182" s="216">
        <f t="shared" si="22"/>
        <v>0.3680555556</v>
      </c>
    </row>
    <row r="183" ht="14.25" customHeight="1">
      <c r="A183" s="159"/>
      <c r="B183" s="228" t="s">
        <v>17</v>
      </c>
      <c r="C183" s="4"/>
      <c r="D183" s="4"/>
      <c r="E183" s="4"/>
      <c r="F183" s="5"/>
      <c r="G183" s="229">
        <v>0.6715277777777777</v>
      </c>
      <c r="H183" s="159"/>
      <c r="I183" s="212">
        <v>17.0</v>
      </c>
      <c r="J183" s="213">
        <v>0.3298611111111111</v>
      </c>
      <c r="K183" s="214">
        <v>0.5</v>
      </c>
      <c r="L183" s="214">
        <v>0.5416666666666666</v>
      </c>
      <c r="M183" s="214">
        <v>0.7083333333333334</v>
      </c>
      <c r="N183" s="215">
        <f t="shared" si="20"/>
        <v>0.3368055556</v>
      </c>
      <c r="O183" s="159"/>
      <c r="P183" s="212">
        <v>14.0</v>
      </c>
      <c r="Q183" s="221"/>
      <c r="R183" s="221"/>
      <c r="S183" s="221"/>
      <c r="T183" s="221"/>
      <c r="U183" s="216">
        <f t="shared" si="21"/>
        <v>0</v>
      </c>
      <c r="W183" s="212">
        <v>18.0</v>
      </c>
      <c r="X183" s="217"/>
      <c r="Y183" s="218"/>
      <c r="Z183" s="218"/>
      <c r="AA183" s="219"/>
      <c r="AB183" s="216">
        <f t="shared" si="22"/>
        <v>0</v>
      </c>
    </row>
    <row r="184" ht="14.25" customHeight="1">
      <c r="A184" s="159"/>
      <c r="B184" s="159"/>
      <c r="C184" s="159"/>
      <c r="D184" s="192"/>
      <c r="E184" s="159"/>
      <c r="F184" s="159"/>
      <c r="G184" s="159"/>
      <c r="H184" s="159"/>
      <c r="I184" s="212">
        <v>18.0</v>
      </c>
      <c r="J184" s="213">
        <v>0.3277777777777778</v>
      </c>
      <c r="K184" s="214">
        <v>0.5</v>
      </c>
      <c r="L184" s="217">
        <v>0.5416666666666666</v>
      </c>
      <c r="M184" s="217">
        <v>0.7083333333333334</v>
      </c>
      <c r="N184" s="215">
        <f t="shared" si="20"/>
        <v>0.3388888889</v>
      </c>
      <c r="O184" s="159"/>
      <c r="P184" s="212">
        <v>15.0</v>
      </c>
      <c r="Q184" s="217">
        <v>0.3263888888888889</v>
      </c>
      <c r="R184" s="218">
        <v>0.5</v>
      </c>
      <c r="S184" s="218">
        <v>0.5416666666666666</v>
      </c>
      <c r="T184" s="218">
        <v>0.7083333333333334</v>
      </c>
      <c r="U184" s="216">
        <f t="shared" si="21"/>
        <v>0.3402777778</v>
      </c>
      <c r="W184" s="212">
        <v>19.0</v>
      </c>
      <c r="X184" s="217"/>
      <c r="Y184" s="213"/>
      <c r="Z184" s="214"/>
      <c r="AA184" s="214"/>
      <c r="AB184" s="216">
        <f t="shared" si="22"/>
        <v>0</v>
      </c>
    </row>
    <row r="185" ht="14.25" customHeight="1">
      <c r="A185" s="159"/>
      <c r="B185" s="159"/>
      <c r="C185" s="159"/>
      <c r="D185" s="159"/>
      <c r="E185" s="159"/>
      <c r="F185" s="159"/>
      <c r="G185" s="159"/>
      <c r="H185" s="159"/>
      <c r="I185" s="212">
        <v>19.0</v>
      </c>
      <c r="J185" s="213">
        <v>0.3298611111111111</v>
      </c>
      <c r="K185" s="214">
        <v>0.5</v>
      </c>
      <c r="L185" s="214">
        <v>0.5416666666666666</v>
      </c>
      <c r="M185" s="214">
        <v>0.7083333333333334</v>
      </c>
      <c r="N185" s="215">
        <f t="shared" si="20"/>
        <v>0.3368055556</v>
      </c>
      <c r="O185" s="159"/>
      <c r="P185" s="212">
        <v>16.0</v>
      </c>
      <c r="Q185" s="217">
        <v>0.33055555555555555</v>
      </c>
      <c r="R185" s="218">
        <v>0.5</v>
      </c>
      <c r="S185" s="218">
        <v>0.5416666666666666</v>
      </c>
      <c r="T185" s="218">
        <v>0.7083333333333334</v>
      </c>
      <c r="U185" s="216">
        <f t="shared" si="21"/>
        <v>0.3361111111</v>
      </c>
      <c r="W185" s="212">
        <v>20.0</v>
      </c>
      <c r="X185" s="217">
        <v>0.2986111111111111</v>
      </c>
      <c r="Y185" s="218">
        <v>0.5</v>
      </c>
      <c r="Z185" s="218">
        <v>0.5416666666666666</v>
      </c>
      <c r="AA185" s="219">
        <v>0.7083333333333334</v>
      </c>
      <c r="AB185" s="216">
        <f t="shared" si="22"/>
        <v>0.3680555556</v>
      </c>
    </row>
    <row r="186" ht="14.25" customHeight="1">
      <c r="A186" s="159"/>
      <c r="B186" s="230" t="s">
        <v>22</v>
      </c>
      <c r="C186" s="4"/>
      <c r="D186" s="4"/>
      <c r="E186" s="5"/>
      <c r="F186" s="230" t="s">
        <v>23</v>
      </c>
      <c r="G186" s="5"/>
      <c r="H186" s="159"/>
      <c r="I186" s="212">
        <v>20.0</v>
      </c>
      <c r="J186" s="213">
        <v>0.3263888888888889</v>
      </c>
      <c r="K186" s="214">
        <v>0.5</v>
      </c>
      <c r="L186" s="214">
        <v>0.5416666666666666</v>
      </c>
      <c r="M186" s="214">
        <v>0.7083333333333334</v>
      </c>
      <c r="N186" s="215">
        <f t="shared" si="20"/>
        <v>0.3402777778</v>
      </c>
      <c r="O186" s="159"/>
      <c r="P186" s="212">
        <v>17.0</v>
      </c>
      <c r="Q186" s="217">
        <v>0.3277777777777778</v>
      </c>
      <c r="R186" s="218">
        <v>0.5</v>
      </c>
      <c r="S186" s="218">
        <v>0.5416666666666666</v>
      </c>
      <c r="T186" s="218">
        <v>0.7083333333333334</v>
      </c>
      <c r="U186" s="216">
        <f t="shared" si="21"/>
        <v>0.3388888889</v>
      </c>
      <c r="W186" s="212">
        <v>21.0</v>
      </c>
      <c r="X186" s="217">
        <v>0.2986111111111111</v>
      </c>
      <c r="Y186" s="218">
        <v>0.5</v>
      </c>
      <c r="Z186" s="218">
        <v>0.5416666666666666</v>
      </c>
      <c r="AA186" s="219">
        <v>0.7083333333333334</v>
      </c>
      <c r="AB186" s="216">
        <f t="shared" si="22"/>
        <v>0.3680555556</v>
      </c>
    </row>
    <row r="187" ht="14.25" customHeight="1">
      <c r="A187" s="159"/>
      <c r="B187" s="231">
        <f>B59-B170</f>
        <v>-0.01666666667</v>
      </c>
      <c r="E187" s="42"/>
      <c r="F187" s="232" t="str">
        <f>TEXT(B170/B59, "0%")</f>
        <v>100%</v>
      </c>
      <c r="G187" s="31"/>
      <c r="H187" s="159"/>
      <c r="I187" s="220">
        <v>22.0</v>
      </c>
      <c r="J187" s="213">
        <v>0.3125</v>
      </c>
      <c r="K187" s="213">
        <v>0.5</v>
      </c>
      <c r="L187" s="214">
        <v>0.5416666666666666</v>
      </c>
      <c r="M187" s="214">
        <v>0.7083333333333334</v>
      </c>
      <c r="N187" s="215">
        <f t="shared" si="20"/>
        <v>0.3541666667</v>
      </c>
      <c r="O187" s="159"/>
      <c r="P187" s="212">
        <v>18.0</v>
      </c>
      <c r="Q187" s="213">
        <v>0.32708333333333334</v>
      </c>
      <c r="R187" s="213">
        <v>0.5</v>
      </c>
      <c r="S187" s="217">
        <v>0.5416666666666666</v>
      </c>
      <c r="T187" s="217">
        <v>0.7083333333333334</v>
      </c>
      <c r="U187" s="216">
        <f t="shared" si="21"/>
        <v>0.3395833333</v>
      </c>
      <c r="W187" s="220">
        <v>22.0</v>
      </c>
      <c r="X187" s="217"/>
      <c r="Y187" s="218"/>
      <c r="Z187" s="218"/>
      <c r="AA187" s="219"/>
      <c r="AB187" s="216">
        <f t="shared" si="22"/>
        <v>0</v>
      </c>
    </row>
    <row r="188" ht="14.25" customHeight="1">
      <c r="A188" s="159"/>
      <c r="B188" s="41"/>
      <c r="E188" s="42"/>
      <c r="F188" s="41"/>
      <c r="G188" s="42"/>
      <c r="H188" s="159"/>
      <c r="I188" s="220">
        <v>23.0</v>
      </c>
      <c r="J188" s="213">
        <v>0.3298611111111111</v>
      </c>
      <c r="K188" s="214">
        <v>0.5</v>
      </c>
      <c r="L188" s="214">
        <v>0.5416666666666666</v>
      </c>
      <c r="M188" s="214">
        <v>0.7083333333333334</v>
      </c>
      <c r="N188" s="215">
        <f t="shared" si="20"/>
        <v>0.3368055556</v>
      </c>
      <c r="O188" s="159"/>
      <c r="P188" s="212">
        <v>19.0</v>
      </c>
      <c r="Q188" s="217">
        <v>0.3277777777777778</v>
      </c>
      <c r="R188" s="213">
        <v>0.5</v>
      </c>
      <c r="S188" s="218">
        <v>0.5416666666666666</v>
      </c>
      <c r="T188" s="218">
        <v>0.7083333333333334</v>
      </c>
      <c r="U188" s="216">
        <f t="shared" si="21"/>
        <v>0.3388888889</v>
      </c>
      <c r="W188" s="233">
        <v>23.0</v>
      </c>
      <c r="X188" s="217"/>
      <c r="Y188" s="218"/>
      <c r="Z188" s="218"/>
      <c r="AA188" s="219"/>
      <c r="AB188" s="216">
        <f t="shared" si="22"/>
        <v>0</v>
      </c>
    </row>
    <row r="189" ht="14.25" customHeight="1">
      <c r="A189" s="159"/>
      <c r="B189" s="33"/>
      <c r="C189" s="34"/>
      <c r="D189" s="34"/>
      <c r="E189" s="35"/>
      <c r="F189" s="33"/>
      <c r="G189" s="35"/>
      <c r="H189" s="159"/>
      <c r="I189" s="220">
        <v>24.0</v>
      </c>
      <c r="J189" s="213">
        <v>0.3298611111111111</v>
      </c>
      <c r="K189" s="214">
        <v>0.4375</v>
      </c>
      <c r="L189" s="214">
        <v>0.5416666666666666</v>
      </c>
      <c r="M189" s="214">
        <v>0.7083333333333334</v>
      </c>
      <c r="N189" s="215">
        <f t="shared" si="20"/>
        <v>0.2743055556</v>
      </c>
      <c r="O189" s="159"/>
      <c r="P189" s="212">
        <v>20.0</v>
      </c>
      <c r="Q189" s="221"/>
      <c r="R189" s="221"/>
      <c r="S189" s="221"/>
      <c r="T189" s="221"/>
      <c r="U189" s="216">
        <f t="shared" si="21"/>
        <v>0</v>
      </c>
      <c r="W189" s="233">
        <v>24.0</v>
      </c>
      <c r="X189" s="219"/>
      <c r="Y189" s="218"/>
      <c r="Z189" s="218"/>
      <c r="AA189" s="218"/>
      <c r="AB189" s="216">
        <f t="shared" si="22"/>
        <v>0</v>
      </c>
    </row>
    <row r="190" ht="14.25" customHeight="1">
      <c r="A190" s="159"/>
      <c r="H190" s="159"/>
      <c r="I190" s="220">
        <v>25.0</v>
      </c>
      <c r="J190" s="213">
        <v>0.3284722222222222</v>
      </c>
      <c r="K190" s="214">
        <v>0.5</v>
      </c>
      <c r="L190" s="214">
        <v>0.5416666666666666</v>
      </c>
      <c r="M190" s="214">
        <v>0.7083333333333334</v>
      </c>
      <c r="N190" s="215">
        <f t="shared" si="20"/>
        <v>0.3381944444</v>
      </c>
      <c r="O190" s="159"/>
      <c r="P190" s="212">
        <v>21.0</v>
      </c>
      <c r="Q190" s="221"/>
      <c r="R190" s="221"/>
      <c r="S190" s="221"/>
      <c r="T190" s="221"/>
      <c r="U190" s="216">
        <f t="shared" si="21"/>
        <v>0</v>
      </c>
      <c r="W190" s="220">
        <v>6.0</v>
      </c>
      <c r="X190" s="219"/>
      <c r="Y190" s="218"/>
      <c r="Z190" s="218"/>
      <c r="AA190" s="218"/>
      <c r="AB190" s="216">
        <f t="shared" si="22"/>
        <v>0</v>
      </c>
    </row>
    <row r="191" ht="14.25" customHeight="1">
      <c r="A191" s="159"/>
      <c r="H191" s="159"/>
      <c r="I191" s="220">
        <v>26.0</v>
      </c>
      <c r="J191" s="213">
        <v>0.3284722222222222</v>
      </c>
      <c r="K191" s="214">
        <v>0.5</v>
      </c>
      <c r="L191" s="214">
        <v>0.5416666666666666</v>
      </c>
      <c r="M191" s="214">
        <v>0.7083333333333334</v>
      </c>
      <c r="N191" s="215">
        <f t="shared" si="20"/>
        <v>0.3381944444</v>
      </c>
      <c r="O191" s="159"/>
      <c r="P191" s="220">
        <v>22.0</v>
      </c>
      <c r="Q191" s="219"/>
      <c r="R191" s="218"/>
      <c r="S191" s="218"/>
      <c r="T191" s="218"/>
      <c r="U191" s="216">
        <f t="shared" si="21"/>
        <v>0</v>
      </c>
      <c r="W191" s="220">
        <v>6.0</v>
      </c>
      <c r="X191" s="217"/>
      <c r="Y191" s="217"/>
      <c r="Z191" s="217"/>
      <c r="AA191" s="217"/>
      <c r="AB191" s="216">
        <f t="shared" si="22"/>
        <v>0</v>
      </c>
    </row>
    <row r="192" ht="14.25" customHeight="1">
      <c r="A192" s="159"/>
      <c r="H192" s="159"/>
      <c r="I192" s="220">
        <v>27.0</v>
      </c>
      <c r="J192" s="213">
        <v>0.32708333333333334</v>
      </c>
      <c r="K192" s="213">
        <v>0.5</v>
      </c>
      <c r="L192" s="214">
        <v>0.5416666666666666</v>
      </c>
      <c r="M192" s="214">
        <v>0.7083333333333334</v>
      </c>
      <c r="N192" s="215">
        <f t="shared" si="20"/>
        <v>0.3395833333</v>
      </c>
      <c r="O192" s="159"/>
      <c r="P192" s="233">
        <v>23.0</v>
      </c>
      <c r="Q192" s="219">
        <v>0.32916666666666666</v>
      </c>
      <c r="R192" s="218">
        <v>0.5</v>
      </c>
      <c r="S192" s="218">
        <v>0.5416666666666666</v>
      </c>
      <c r="T192" s="218">
        <v>0.7083333333333334</v>
      </c>
      <c r="U192" s="216">
        <f t="shared" si="21"/>
        <v>0.3375</v>
      </c>
      <c r="W192" s="220">
        <v>6.0</v>
      </c>
      <c r="X192" s="213"/>
      <c r="Y192" s="214"/>
      <c r="Z192" s="214"/>
      <c r="AA192" s="214"/>
      <c r="AB192" s="216">
        <f t="shared" si="22"/>
        <v>0</v>
      </c>
    </row>
    <row r="193" ht="14.25" customHeight="1">
      <c r="A193" s="159"/>
      <c r="H193" s="159"/>
      <c r="I193" s="228" t="s">
        <v>17</v>
      </c>
      <c r="J193" s="4"/>
      <c r="K193" s="4"/>
      <c r="L193" s="4"/>
      <c r="M193" s="5"/>
      <c r="N193" s="234">
        <f>SUM(N171:N192)</f>
        <v>7.431944444</v>
      </c>
      <c r="O193" s="159"/>
      <c r="P193" s="233">
        <v>24.0</v>
      </c>
      <c r="Q193" s="219">
        <v>0.32569444444444445</v>
      </c>
      <c r="R193" s="218">
        <v>0.5</v>
      </c>
      <c r="S193" s="218">
        <v>0.5416666666666666</v>
      </c>
      <c r="T193" s="218">
        <v>0.7083333333333334</v>
      </c>
      <c r="U193" s="216">
        <f t="shared" si="21"/>
        <v>0.3409722222</v>
      </c>
      <c r="W193" s="220">
        <v>6.0</v>
      </c>
      <c r="X193" s="219"/>
      <c r="Y193" s="218"/>
      <c r="Z193" s="218"/>
      <c r="AA193" s="218"/>
      <c r="AB193" s="216">
        <f t="shared" si="22"/>
        <v>0</v>
      </c>
    </row>
    <row r="194" ht="14.25" customHeight="1">
      <c r="A194" s="159"/>
      <c r="H194" s="159"/>
      <c r="O194" s="159"/>
      <c r="P194" s="233">
        <v>25.0</v>
      </c>
      <c r="Q194" s="219">
        <v>0.3298611111111111</v>
      </c>
      <c r="R194" s="218">
        <v>0.5</v>
      </c>
      <c r="S194" s="218">
        <v>0.5416666666666666</v>
      </c>
      <c r="T194" s="218">
        <v>0.7083333333333334</v>
      </c>
      <c r="U194" s="216">
        <f t="shared" si="21"/>
        <v>0.3368055556</v>
      </c>
      <c r="W194" s="220">
        <v>6.0</v>
      </c>
      <c r="X194" s="219"/>
      <c r="Y194" s="218"/>
      <c r="Z194" s="218"/>
      <c r="AA194" s="218"/>
      <c r="AB194" s="216">
        <f t="shared" si="22"/>
        <v>0</v>
      </c>
    </row>
    <row r="195" ht="14.25" customHeight="1">
      <c r="A195" s="159"/>
      <c r="H195" s="159"/>
      <c r="O195" s="159"/>
      <c r="P195" s="233">
        <v>26.0</v>
      </c>
      <c r="Q195" s="217">
        <v>0.3298611111111111</v>
      </c>
      <c r="R195" s="217">
        <v>0.5</v>
      </c>
      <c r="S195" s="217">
        <v>0.5416666666666666</v>
      </c>
      <c r="T195" s="217">
        <v>0.7083333333333334</v>
      </c>
      <c r="U195" s="216">
        <f t="shared" si="21"/>
        <v>0.3368055556</v>
      </c>
      <c r="W195" s="220">
        <v>6.0</v>
      </c>
      <c r="X195" s="217"/>
      <c r="Y195" s="218"/>
      <c r="Z195" s="218"/>
      <c r="AA195" s="218"/>
      <c r="AB195" s="216">
        <f t="shared" si="22"/>
        <v>0</v>
      </c>
    </row>
    <row r="196" ht="14.25" customHeight="1">
      <c r="A196" s="159"/>
      <c r="H196" s="159"/>
      <c r="O196" s="159"/>
      <c r="P196" s="233">
        <v>27.0</v>
      </c>
      <c r="Q196" s="213">
        <v>0.3284722222222222</v>
      </c>
      <c r="R196" s="218">
        <v>0.5</v>
      </c>
      <c r="S196" s="218">
        <v>0.5416666666666666</v>
      </c>
      <c r="T196" s="218">
        <v>0.7083333333333334</v>
      </c>
      <c r="U196" s="216">
        <f t="shared" si="21"/>
        <v>0.3381944444</v>
      </c>
      <c r="W196" s="220">
        <v>6.0</v>
      </c>
      <c r="X196" s="219"/>
      <c r="Y196" s="218"/>
      <c r="Z196" s="218"/>
      <c r="AA196" s="218"/>
      <c r="AB196" s="216">
        <f t="shared" si="22"/>
        <v>0</v>
      </c>
    </row>
    <row r="197" ht="14.25" customHeight="1">
      <c r="A197" s="159"/>
      <c r="H197" s="159"/>
      <c r="O197" s="159"/>
      <c r="P197" s="233">
        <v>28.0</v>
      </c>
      <c r="Q197" s="219"/>
      <c r="R197" s="218"/>
      <c r="S197" s="218"/>
      <c r="T197" s="218"/>
      <c r="U197" s="216">
        <f t="shared" si="21"/>
        <v>0</v>
      </c>
      <c r="W197" s="233">
        <v>28.0</v>
      </c>
      <c r="X197" s="219"/>
      <c r="Y197" s="218"/>
      <c r="Z197" s="218"/>
      <c r="AA197" s="218"/>
      <c r="AB197" s="216">
        <f t="shared" si="22"/>
        <v>0</v>
      </c>
    </row>
    <row r="198" ht="14.25" customHeight="1">
      <c r="A198" s="159"/>
      <c r="H198" s="159"/>
      <c r="O198" s="159"/>
      <c r="P198" s="233">
        <v>29.0</v>
      </c>
      <c r="Q198" s="219"/>
      <c r="R198" s="218"/>
      <c r="S198" s="218"/>
      <c r="T198" s="218"/>
      <c r="U198" s="216">
        <f t="shared" si="21"/>
        <v>0</v>
      </c>
      <c r="W198" s="233">
        <v>29.0</v>
      </c>
      <c r="X198" s="219"/>
      <c r="Y198" s="218"/>
      <c r="Z198" s="218"/>
      <c r="AA198" s="218"/>
      <c r="AB198" s="216">
        <f t="shared" si="22"/>
        <v>0</v>
      </c>
    </row>
    <row r="199" ht="14.25" customHeight="1">
      <c r="A199" s="159"/>
      <c r="H199" s="159"/>
      <c r="O199" s="159"/>
      <c r="P199" s="233">
        <v>30.0</v>
      </c>
      <c r="Q199" s="217">
        <v>0.33055555555555555</v>
      </c>
      <c r="R199" s="218">
        <v>0.5</v>
      </c>
      <c r="S199" s="218">
        <v>0.5416666666666666</v>
      </c>
      <c r="T199" s="218">
        <v>0.7083333333333334</v>
      </c>
      <c r="U199" s="216">
        <f t="shared" si="21"/>
        <v>0.3361111111</v>
      </c>
      <c r="W199" s="233">
        <v>30.0</v>
      </c>
      <c r="X199" s="219"/>
      <c r="Y199" s="218"/>
      <c r="Z199" s="218"/>
      <c r="AA199" s="218"/>
      <c r="AB199" s="216">
        <f t="shared" si="22"/>
        <v>0</v>
      </c>
    </row>
    <row r="200" ht="14.25" customHeight="1">
      <c r="A200" s="159"/>
      <c r="H200" s="159"/>
      <c r="O200" s="159"/>
      <c r="P200" s="233">
        <v>31.0</v>
      </c>
      <c r="Q200" s="219"/>
      <c r="R200" s="218"/>
      <c r="S200" s="218"/>
      <c r="T200" s="218"/>
      <c r="U200" s="216">
        <f t="shared" si="21"/>
        <v>0</v>
      </c>
      <c r="W200" s="233">
        <v>31.0</v>
      </c>
      <c r="X200" s="219"/>
      <c r="Y200" s="218"/>
      <c r="Z200" s="218"/>
      <c r="AA200" s="218"/>
      <c r="AB200" s="216">
        <f t="shared" si="22"/>
        <v>0</v>
      </c>
    </row>
    <row r="201" ht="14.25" customHeight="1">
      <c r="A201" s="159"/>
      <c r="H201" s="159"/>
      <c r="O201" s="159"/>
      <c r="P201" s="228" t="s">
        <v>17</v>
      </c>
      <c r="Q201" s="4"/>
      <c r="R201" s="4"/>
      <c r="S201" s="4"/>
      <c r="T201" s="5"/>
      <c r="U201" s="234">
        <f>SUM(U171:U200)</f>
        <v>7.120833333</v>
      </c>
      <c r="W201" s="228" t="s">
        <v>17</v>
      </c>
      <c r="X201" s="4"/>
      <c r="Y201" s="4"/>
      <c r="Z201" s="4"/>
      <c r="AA201" s="5"/>
      <c r="AB201" s="234">
        <f>SUM(AB171:AB200)</f>
        <v>5.042361111</v>
      </c>
    </row>
    <row r="202" ht="14.25" customHeight="1">
      <c r="A202" s="159"/>
      <c r="H202" s="159"/>
      <c r="O202" s="159"/>
      <c r="P202" s="159"/>
      <c r="Q202" s="159"/>
      <c r="R202" s="159"/>
      <c r="S202" s="159"/>
      <c r="T202" s="159"/>
      <c r="U202" s="159"/>
    </row>
    <row r="203" ht="14.25" customHeight="1"/>
    <row r="204" ht="14.25" customHeight="1"/>
    <row r="205" ht="14.25" customHeight="1"/>
    <row r="206" ht="14.25" customHeight="1"/>
    <row r="207" ht="14.25" customHeight="1">
      <c r="B207" s="55"/>
    </row>
    <row r="208" ht="14.25" customHeight="1"/>
    <row r="209" ht="14.25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35"/>
      <c r="Z209" s="235"/>
      <c r="AA209" s="235"/>
      <c r="AB209" s="235"/>
      <c r="AC209" s="235"/>
      <c r="AD209" s="235"/>
      <c r="AE209" s="235"/>
      <c r="AF209" s="235"/>
      <c r="AG209" s="235"/>
      <c r="AH209" s="235"/>
      <c r="AI209" s="235"/>
      <c r="AJ209" s="235"/>
      <c r="AK209" s="235"/>
      <c r="AL209" s="235"/>
    </row>
    <row r="210" ht="14.25" customHeight="1"/>
    <row r="211" ht="14.25" customHeight="1"/>
    <row r="212" ht="14.25" customHeight="1">
      <c r="B212" s="236" t="s">
        <v>41</v>
      </c>
      <c r="I212" s="237" t="s">
        <v>0</v>
      </c>
      <c r="J212" s="238" t="s">
        <v>3</v>
      </c>
      <c r="K212" s="239"/>
      <c r="L212" s="239"/>
      <c r="M212" s="240"/>
      <c r="N212" s="237" t="s">
        <v>2</v>
      </c>
      <c r="O212" s="159"/>
      <c r="P212" s="237" t="s">
        <v>0</v>
      </c>
      <c r="Q212" s="238" t="s">
        <v>4</v>
      </c>
      <c r="R212" s="239"/>
      <c r="S212" s="239"/>
      <c r="T212" s="240"/>
      <c r="U212" s="237" t="s">
        <v>2</v>
      </c>
      <c r="W212" s="237" t="s">
        <v>0</v>
      </c>
      <c r="X212" s="241" t="s">
        <v>40</v>
      </c>
      <c r="Y212" s="239"/>
      <c r="Z212" s="239"/>
      <c r="AA212" s="240"/>
      <c r="AB212" s="237" t="s">
        <v>2</v>
      </c>
      <c r="AC212" s="242"/>
      <c r="AD212" s="243" t="s">
        <v>37</v>
      </c>
      <c r="AE212" s="243" t="s">
        <v>9</v>
      </c>
      <c r="AF212" s="243" t="s">
        <v>10</v>
      </c>
      <c r="AH212" s="105"/>
    </row>
    <row r="213" ht="14.25" customHeight="1">
      <c r="H213" s="159"/>
      <c r="I213" s="244"/>
      <c r="J213" s="238" t="s">
        <v>6</v>
      </c>
      <c r="K213" s="240"/>
      <c r="L213" s="238" t="s">
        <v>7</v>
      </c>
      <c r="M213" s="240"/>
      <c r="N213" s="244"/>
      <c r="O213" s="159"/>
      <c r="P213" s="244"/>
      <c r="Q213" s="238" t="s">
        <v>6</v>
      </c>
      <c r="R213" s="240"/>
      <c r="S213" s="238" t="s">
        <v>7</v>
      </c>
      <c r="T213" s="240"/>
      <c r="U213" s="244"/>
      <c r="W213" s="244"/>
      <c r="X213" s="238" t="s">
        <v>6</v>
      </c>
      <c r="Y213" s="240"/>
      <c r="Z213" s="238" t="s">
        <v>7</v>
      </c>
      <c r="AA213" s="240"/>
      <c r="AB213" s="244"/>
      <c r="AC213" s="242"/>
      <c r="AD213" s="125" t="s">
        <v>13</v>
      </c>
      <c r="AE213" s="207" t="s">
        <v>14</v>
      </c>
      <c r="AF213" s="208">
        <f>sum(G236)</f>
        <v>0.675</v>
      </c>
      <c r="AG213" s="55"/>
    </row>
    <row r="214" ht="14.25" customHeight="1">
      <c r="B214" s="245" t="s">
        <v>42</v>
      </c>
      <c r="H214" s="159"/>
      <c r="I214" s="246"/>
      <c r="J214" s="247" t="s">
        <v>11</v>
      </c>
      <c r="K214" s="247" t="s">
        <v>12</v>
      </c>
      <c r="L214" s="247" t="s">
        <v>11</v>
      </c>
      <c r="M214" s="247" t="s">
        <v>12</v>
      </c>
      <c r="N214" s="246"/>
      <c r="O214" s="159"/>
      <c r="P214" s="246"/>
      <c r="Q214" s="247" t="s">
        <v>11</v>
      </c>
      <c r="R214" s="247" t="s">
        <v>12</v>
      </c>
      <c r="S214" s="247" t="s">
        <v>11</v>
      </c>
      <c r="T214" s="247" t="s">
        <v>12</v>
      </c>
      <c r="U214" s="246"/>
      <c r="W214" s="246"/>
      <c r="X214" s="247" t="s">
        <v>11</v>
      </c>
      <c r="Y214" s="247" t="s">
        <v>12</v>
      </c>
      <c r="Z214" s="247" t="s">
        <v>11</v>
      </c>
      <c r="AA214" s="247" t="s">
        <v>12</v>
      </c>
      <c r="AB214" s="246"/>
      <c r="AC214" s="242"/>
      <c r="AD214" s="125" t="s">
        <v>15</v>
      </c>
      <c r="AE214" s="211">
        <v>46037.0</v>
      </c>
      <c r="AF214" s="208">
        <f>sum(N215:N224)</f>
        <v>3.422916667</v>
      </c>
      <c r="AG214" s="248"/>
      <c r="AH214" s="249"/>
      <c r="AI214" s="248"/>
      <c r="AJ214" s="28"/>
    </row>
    <row r="215" ht="14.25" customHeight="1">
      <c r="B215" s="250" t="str">
        <f>TEXT(SUM(G236,N238,U237,AB238),"[h]")&amp;" hrs"
</f>
        <v>371 hrs</v>
      </c>
      <c r="H215" s="159"/>
      <c r="I215" s="251">
        <v>2.0</v>
      </c>
      <c r="J215" s="252">
        <v>0.3229166666666667</v>
      </c>
      <c r="K215" s="252">
        <v>0.5</v>
      </c>
      <c r="L215" s="252">
        <v>0.5416666666666666</v>
      </c>
      <c r="M215" s="252">
        <v>0.7083333333333334</v>
      </c>
      <c r="N215" s="253">
        <f t="shared" ref="N215:N224" si="23">MIN(K215,TIME(12,0,0))-J215+MIN(M215,TIME(17,0,0))-MAX(L215,TIME(13,0,0))
</f>
        <v>0.34375</v>
      </c>
      <c r="O215" s="159"/>
      <c r="P215" s="251">
        <v>2.0</v>
      </c>
      <c r="Q215" s="254">
        <v>0.4583333333333333</v>
      </c>
      <c r="R215" s="252">
        <v>0.5</v>
      </c>
      <c r="S215" s="254">
        <v>0.5416666666666666</v>
      </c>
      <c r="T215" s="254">
        <v>0.7111111111111111</v>
      </c>
      <c r="U215" s="253">
        <f t="shared" ref="U215:U231" si="24">MIN(R215,TIME(12,0,0))-Q215+MIN(T215,TIME(17,0,0))-MAX(S215,TIME(13,0,0))
</f>
        <v>0.2083333333</v>
      </c>
      <c r="W215" s="255">
        <v>1.0</v>
      </c>
      <c r="X215" s="254">
        <v>0.3333333333333333</v>
      </c>
      <c r="Y215" s="254">
        <v>0.5</v>
      </c>
      <c r="Z215" s="256"/>
      <c r="AA215" s="256"/>
      <c r="AB215" s="253">
        <f t="shared" ref="AB215:AB234" si="25">SUM(Y215-X215)+AA215-Z215</f>
        <v>0.1666666667</v>
      </c>
      <c r="AC215" s="242"/>
      <c r="AD215" s="125" t="s">
        <v>15</v>
      </c>
      <c r="AE215" s="207" t="s">
        <v>16</v>
      </c>
      <c r="AF215" s="208">
        <f>sum(N226:N237)</f>
        <v>3.154166667</v>
      </c>
      <c r="AI215" s="248"/>
      <c r="AJ215" s="28"/>
    </row>
    <row r="216" ht="14.25" customHeight="1">
      <c r="H216" s="159"/>
      <c r="I216" s="251">
        <v>3.0</v>
      </c>
      <c r="J216" s="252">
        <v>0.3173611111111111</v>
      </c>
      <c r="K216" s="252">
        <v>0.5</v>
      </c>
      <c r="L216" s="252">
        <v>0.5416666666666666</v>
      </c>
      <c r="M216" s="252">
        <v>0.7083333333333334</v>
      </c>
      <c r="N216" s="253">
        <f t="shared" si="23"/>
        <v>0.3493055556</v>
      </c>
      <c r="O216" s="159"/>
      <c r="P216" s="251">
        <v>3.0</v>
      </c>
      <c r="Q216" s="252">
        <v>0.3326388888888889</v>
      </c>
      <c r="R216" s="252">
        <v>0.5006944444444444</v>
      </c>
      <c r="S216" s="252">
        <v>0.5347222222222222</v>
      </c>
      <c r="T216" s="254">
        <v>0.7090277777777778</v>
      </c>
      <c r="U216" s="253">
        <f t="shared" si="24"/>
        <v>0.3340277778</v>
      </c>
      <c r="W216" s="255">
        <v>2.0</v>
      </c>
      <c r="X216" s="252"/>
      <c r="Y216" s="252"/>
      <c r="Z216" s="252"/>
      <c r="AA216" s="254"/>
      <c r="AB216" s="253">
        <f t="shared" si="25"/>
        <v>0</v>
      </c>
      <c r="AC216" s="242"/>
      <c r="AD216" s="125" t="s">
        <v>18</v>
      </c>
      <c r="AE216" s="211">
        <v>46037.0</v>
      </c>
      <c r="AF216" s="208">
        <f>sum(U215:U224)</f>
        <v>3.209722222</v>
      </c>
      <c r="AG216" s="248"/>
      <c r="AH216" s="248"/>
      <c r="AI216" s="248"/>
      <c r="AJ216" s="28"/>
    </row>
    <row r="217" ht="14.25" customHeight="1">
      <c r="H217" s="159"/>
      <c r="I217" s="251">
        <v>4.0</v>
      </c>
      <c r="J217" s="252">
        <v>0.3229166666666667</v>
      </c>
      <c r="K217" s="252">
        <v>0.5</v>
      </c>
      <c r="L217" s="252">
        <v>0.5416666666666666</v>
      </c>
      <c r="M217" s="252">
        <v>0.7083333333333334</v>
      </c>
      <c r="N217" s="253">
        <f t="shared" si="23"/>
        <v>0.34375</v>
      </c>
      <c r="O217" s="159"/>
      <c r="P217" s="251">
        <v>4.0</v>
      </c>
      <c r="Q217" s="252">
        <v>0.3326388888888889</v>
      </c>
      <c r="R217" s="252">
        <v>0.5</v>
      </c>
      <c r="S217" s="254">
        <v>0.5347222222222222</v>
      </c>
      <c r="T217" s="254">
        <v>0.7097222222222223</v>
      </c>
      <c r="U217" s="253">
        <f t="shared" si="24"/>
        <v>0.3340277778</v>
      </c>
      <c r="W217" s="255">
        <v>3.0</v>
      </c>
      <c r="X217" s="252"/>
      <c r="Y217" s="252"/>
      <c r="Z217" s="252"/>
      <c r="AA217" s="254"/>
      <c r="AB217" s="253">
        <f t="shared" si="25"/>
        <v>0</v>
      </c>
      <c r="AC217" s="242"/>
      <c r="AD217" s="125" t="s">
        <v>18</v>
      </c>
      <c r="AE217" s="207" t="s">
        <v>19</v>
      </c>
      <c r="AF217" s="208">
        <f>sum(U225:U235)</f>
        <v>3.215277778</v>
      </c>
      <c r="AH217" s="248"/>
      <c r="AI217" s="248"/>
      <c r="AJ217" s="28"/>
    </row>
    <row r="218" ht="14.25" customHeight="1">
      <c r="H218" s="159"/>
      <c r="I218" s="251">
        <v>5.0</v>
      </c>
      <c r="J218" s="252">
        <v>0.3298611111111111</v>
      </c>
      <c r="K218" s="252">
        <v>0.5</v>
      </c>
      <c r="L218" s="252">
        <v>0.5416666666666666</v>
      </c>
      <c r="M218" s="252">
        <v>0.7083333333333334</v>
      </c>
      <c r="N218" s="253">
        <f t="shared" si="23"/>
        <v>0.3368055556</v>
      </c>
      <c r="O218" s="159"/>
      <c r="P218" s="251">
        <v>5.0</v>
      </c>
      <c r="Q218" s="252">
        <v>0.3333333333333333</v>
      </c>
      <c r="R218" s="252">
        <v>0.5006944444444444</v>
      </c>
      <c r="S218" s="252">
        <v>0.5347222222222222</v>
      </c>
      <c r="T218" s="254">
        <v>0.7104166666666667</v>
      </c>
      <c r="U218" s="253">
        <f t="shared" si="24"/>
        <v>0.3333333333</v>
      </c>
      <c r="W218" s="255">
        <v>6.0</v>
      </c>
      <c r="X218" s="254">
        <v>0.33194444444444443</v>
      </c>
      <c r="Y218" s="254">
        <v>0.5</v>
      </c>
      <c r="Z218" s="254">
        <v>0.5416666666666666</v>
      </c>
      <c r="AA218" s="254">
        <v>0.7083333333333334</v>
      </c>
      <c r="AB218" s="253">
        <f t="shared" si="25"/>
        <v>0.3347222222</v>
      </c>
      <c r="AC218" s="242"/>
      <c r="AD218" s="125" t="s">
        <v>5</v>
      </c>
      <c r="AE218" s="211">
        <v>46037.0</v>
      </c>
      <c r="AF218" s="208">
        <f>sum(AB215:AB224)</f>
        <v>1.784027778</v>
      </c>
      <c r="AG218" s="248"/>
      <c r="AH218" s="248"/>
      <c r="AI218" s="248"/>
      <c r="AJ218" s="28"/>
    </row>
    <row r="219" ht="14.25" customHeight="1">
      <c r="A219" s="159"/>
      <c r="H219" s="159"/>
      <c r="I219" s="251">
        <v>6.0</v>
      </c>
      <c r="J219" s="252">
        <v>0.3194444444444444</v>
      </c>
      <c r="K219" s="252">
        <v>0.5</v>
      </c>
      <c r="L219" s="252">
        <v>0.5416666666666666</v>
      </c>
      <c r="M219" s="252">
        <v>0.7083333333333334</v>
      </c>
      <c r="N219" s="253">
        <f t="shared" si="23"/>
        <v>0.3472222222</v>
      </c>
      <c r="O219" s="159"/>
      <c r="P219" s="251">
        <v>6.0</v>
      </c>
      <c r="Q219" s="252">
        <v>0.36736111111111114</v>
      </c>
      <c r="R219" s="252">
        <v>0.5</v>
      </c>
      <c r="S219" s="252">
        <v>0.5361111111111111</v>
      </c>
      <c r="T219" s="254">
        <v>0.7083333333333334</v>
      </c>
      <c r="U219" s="253">
        <f t="shared" si="24"/>
        <v>0.2993055556</v>
      </c>
      <c r="W219" s="255">
        <v>7.0</v>
      </c>
      <c r="X219" s="254">
        <v>0.33194444444444443</v>
      </c>
      <c r="Y219" s="254">
        <v>0.5</v>
      </c>
      <c r="Z219" s="254">
        <v>0.5416666666666666</v>
      </c>
      <c r="AA219" s="254">
        <v>0.7083333333333334</v>
      </c>
      <c r="AB219" s="253">
        <f t="shared" si="25"/>
        <v>0.3347222222</v>
      </c>
      <c r="AC219" s="242"/>
      <c r="AD219" s="125" t="s">
        <v>5</v>
      </c>
      <c r="AE219" s="207" t="s">
        <v>21</v>
      </c>
      <c r="AF219" s="208">
        <f>sum(AB225:AB234)</f>
        <v>0</v>
      </c>
      <c r="AH219" s="248"/>
      <c r="AI219" s="248"/>
      <c r="AJ219" s="28"/>
    </row>
    <row r="220" ht="14.25" customHeight="1">
      <c r="A220" s="159"/>
      <c r="B220" s="159"/>
      <c r="C220" s="159"/>
      <c r="D220" s="159"/>
      <c r="E220" s="159"/>
      <c r="F220" s="159"/>
      <c r="G220" s="159"/>
      <c r="H220" s="159"/>
      <c r="I220" s="255">
        <v>9.0</v>
      </c>
      <c r="J220" s="252">
        <v>0.3229166666666667</v>
      </c>
      <c r="K220" s="252">
        <v>0.5</v>
      </c>
      <c r="L220" s="252">
        <v>0.5361111111111111</v>
      </c>
      <c r="M220" s="252">
        <v>0.7083333333333334</v>
      </c>
      <c r="N220" s="253">
        <f t="shared" si="23"/>
        <v>0.34375</v>
      </c>
      <c r="O220" s="159"/>
      <c r="P220" s="251">
        <v>9.0</v>
      </c>
      <c r="Q220" s="252">
        <v>0.33194444444444443</v>
      </c>
      <c r="R220" s="252">
        <v>0.5013888888888889</v>
      </c>
      <c r="S220" s="252">
        <v>0.5277777777777778</v>
      </c>
      <c r="T220" s="254">
        <v>0.7090277777777778</v>
      </c>
      <c r="U220" s="253">
        <f t="shared" si="24"/>
        <v>0.3347222222</v>
      </c>
      <c r="W220" s="255">
        <v>8.0</v>
      </c>
      <c r="X220" s="254">
        <v>0.33194444444444443</v>
      </c>
      <c r="Y220" s="254">
        <v>0.5</v>
      </c>
      <c r="Z220" s="254">
        <v>0.5416666666666666</v>
      </c>
      <c r="AA220" s="254">
        <v>0.7083333333333334</v>
      </c>
      <c r="AB220" s="253">
        <f t="shared" si="25"/>
        <v>0.3347222222</v>
      </c>
      <c r="AC220" s="242"/>
      <c r="AD220" s="222"/>
      <c r="AE220" s="222"/>
      <c r="AF220" s="222"/>
      <c r="AG220" s="248"/>
      <c r="AH220" s="248"/>
      <c r="AI220" s="248"/>
      <c r="AJ220" s="28"/>
    </row>
    <row r="221" ht="14.25" customHeight="1">
      <c r="C221" s="257" t="s">
        <v>43</v>
      </c>
      <c r="I221" s="251">
        <v>10.0</v>
      </c>
      <c r="J221" s="252">
        <v>0.32708333333333334</v>
      </c>
      <c r="K221" s="252">
        <v>0.5</v>
      </c>
      <c r="L221" s="252">
        <v>0.5416666666666666</v>
      </c>
      <c r="M221" s="252">
        <v>0.7083333333333334</v>
      </c>
      <c r="N221" s="253">
        <f t="shared" si="23"/>
        <v>0.3395833333</v>
      </c>
      <c r="O221" s="159"/>
      <c r="P221" s="251">
        <v>10.0</v>
      </c>
      <c r="Q221" s="252">
        <v>0.325</v>
      </c>
      <c r="R221" s="252">
        <v>0.5027777777777778</v>
      </c>
      <c r="S221" s="252">
        <v>0.5347222222222222</v>
      </c>
      <c r="T221" s="254">
        <v>0.7125</v>
      </c>
      <c r="U221" s="253">
        <f t="shared" si="24"/>
        <v>0.3416666667</v>
      </c>
      <c r="W221" s="255">
        <v>9.0</v>
      </c>
      <c r="X221" s="254">
        <v>0.31805555555555554</v>
      </c>
      <c r="Y221" s="254">
        <v>0.5</v>
      </c>
      <c r="Z221" s="254">
        <v>0.5416666666666666</v>
      </c>
      <c r="AA221" s="254">
        <v>0.625</v>
      </c>
      <c r="AB221" s="253">
        <f t="shared" si="25"/>
        <v>0.2652777778</v>
      </c>
      <c r="AC221" s="242"/>
      <c r="AD221" s="222"/>
      <c r="AE221" s="222"/>
      <c r="AF221" s="222"/>
      <c r="AG221" s="248"/>
      <c r="AH221" s="248"/>
      <c r="AI221" s="248"/>
      <c r="AJ221" s="28"/>
    </row>
    <row r="222" ht="14.25" customHeight="1">
      <c r="C222" s="258" t="str">
        <f>INT(((486/24)-SUM(G236+N238+U237+AB238))*24/8) &amp; " days"
</f>
        <v>14 days</v>
      </c>
      <c r="I222" s="251">
        <v>11.0</v>
      </c>
      <c r="J222" s="252">
        <v>0.33541666666666664</v>
      </c>
      <c r="K222" s="252">
        <v>0.5</v>
      </c>
      <c r="L222" s="252">
        <v>0.5416666666666666</v>
      </c>
      <c r="M222" s="252">
        <v>0.7083333333333334</v>
      </c>
      <c r="N222" s="253">
        <f t="shared" si="23"/>
        <v>0.33125</v>
      </c>
      <c r="O222" s="159"/>
      <c r="P222" s="251">
        <v>11.0</v>
      </c>
      <c r="Q222" s="252">
        <v>0.325</v>
      </c>
      <c r="R222" s="252">
        <v>0.5</v>
      </c>
      <c r="S222" s="252">
        <v>0.5256944444444445</v>
      </c>
      <c r="T222" s="254">
        <v>0.7097222222222223</v>
      </c>
      <c r="U222" s="253">
        <f t="shared" si="24"/>
        <v>0.3416666667</v>
      </c>
      <c r="W222" s="255">
        <v>10.0</v>
      </c>
      <c r="X222" s="254">
        <v>0.31875</v>
      </c>
      <c r="Y222" s="254">
        <v>0.5</v>
      </c>
      <c r="Z222" s="254">
        <v>0.5416666666666666</v>
      </c>
      <c r="AA222" s="254">
        <v>0.7083333333333334</v>
      </c>
      <c r="AB222" s="253">
        <f t="shared" si="25"/>
        <v>0.3479166667</v>
      </c>
      <c r="AC222" s="242"/>
      <c r="AD222" s="222"/>
      <c r="AE222" s="225" t="s">
        <v>17</v>
      </c>
      <c r="AF222" s="208">
        <f>sum(AF213:AF219)</f>
        <v>15.46111111</v>
      </c>
      <c r="AG222" s="248"/>
      <c r="AH222" s="248"/>
      <c r="AI222" s="248"/>
      <c r="AJ222" s="28"/>
    </row>
    <row r="223" ht="14.25" customHeight="1">
      <c r="I223" s="251">
        <v>12.0</v>
      </c>
      <c r="J223" s="252">
        <v>0.3125</v>
      </c>
      <c r="K223" s="252">
        <v>0.5</v>
      </c>
      <c r="L223" s="252">
        <v>0.5416666666666666</v>
      </c>
      <c r="M223" s="252">
        <v>0.7104166666666667</v>
      </c>
      <c r="N223" s="253">
        <f t="shared" si="23"/>
        <v>0.3541666667</v>
      </c>
      <c r="O223" s="159"/>
      <c r="P223" s="251">
        <v>12.0</v>
      </c>
      <c r="Q223" s="252">
        <v>0.3284722222222222</v>
      </c>
      <c r="R223" s="252">
        <v>0.5020833333333333</v>
      </c>
      <c r="S223" s="252">
        <v>0.5381944444444444</v>
      </c>
      <c r="T223" s="254">
        <v>0.7104166666666667</v>
      </c>
      <c r="U223" s="253">
        <f t="shared" si="24"/>
        <v>0.3381944444</v>
      </c>
      <c r="W223" s="251">
        <v>13.0</v>
      </c>
      <c r="X223" s="252"/>
      <c r="Y223" s="252"/>
      <c r="Z223" s="252"/>
      <c r="AA223" s="254"/>
      <c r="AB223" s="253">
        <f t="shared" si="25"/>
        <v>0</v>
      </c>
      <c r="AC223" s="242"/>
      <c r="AD223" s="248"/>
      <c r="AE223" s="248"/>
      <c r="AF223" s="248"/>
      <c r="AG223" s="248"/>
      <c r="AH223" s="248"/>
      <c r="AI223" s="248"/>
      <c r="AJ223" s="28"/>
    </row>
    <row r="224" ht="14.25" customHeight="1">
      <c r="I224" s="251">
        <v>13.0</v>
      </c>
      <c r="J224" s="252">
        <v>0.3333333333333333</v>
      </c>
      <c r="K224" s="252">
        <v>0.5</v>
      </c>
      <c r="L224" s="252">
        <v>0.5416666666666666</v>
      </c>
      <c r="M224" s="252">
        <v>0.7083333333333334</v>
      </c>
      <c r="N224" s="253">
        <f t="shared" si="23"/>
        <v>0.3333333333</v>
      </c>
      <c r="O224" s="159"/>
      <c r="P224" s="251">
        <v>13.0</v>
      </c>
      <c r="Q224" s="252">
        <v>0.32222222222222224</v>
      </c>
      <c r="R224" s="254">
        <v>0.5020833333333333</v>
      </c>
      <c r="S224" s="252">
        <v>0.5208333333333334</v>
      </c>
      <c r="T224" s="254">
        <v>0.7090277777777778</v>
      </c>
      <c r="U224" s="253">
        <f t="shared" si="24"/>
        <v>0.3444444444</v>
      </c>
      <c r="V224" s="55"/>
      <c r="W224" s="251">
        <v>14.0</v>
      </c>
      <c r="X224" s="252"/>
      <c r="Y224" s="252"/>
      <c r="Z224" s="252"/>
      <c r="AA224" s="254"/>
      <c r="AB224" s="253">
        <f t="shared" si="25"/>
        <v>0</v>
      </c>
      <c r="AC224" s="259"/>
      <c r="AD224" s="28"/>
      <c r="AE224" s="28"/>
      <c r="AF224" s="28"/>
      <c r="AG224" s="28"/>
      <c r="AH224" s="28"/>
      <c r="AI224" s="28"/>
    </row>
    <row r="225" ht="14.25" customHeight="1">
      <c r="I225" s="251">
        <v>14.0</v>
      </c>
      <c r="J225" s="256"/>
      <c r="K225" s="256"/>
      <c r="L225" s="256"/>
      <c r="M225" s="256"/>
      <c r="N225" s="256"/>
      <c r="O225" s="159"/>
      <c r="P225" s="251">
        <v>16.0</v>
      </c>
      <c r="Q225" s="254">
        <v>0.3229166666666667</v>
      </c>
      <c r="R225" s="254">
        <v>0.5020833333333333</v>
      </c>
      <c r="S225" s="252">
        <v>0.5208333333333334</v>
      </c>
      <c r="T225" s="254">
        <v>0.7090277777777778</v>
      </c>
      <c r="U225" s="253">
        <f t="shared" si="24"/>
        <v>0.34375</v>
      </c>
      <c r="W225" s="251">
        <v>16.0</v>
      </c>
      <c r="X225" s="252"/>
      <c r="Y225" s="252"/>
      <c r="Z225" s="252"/>
      <c r="AA225" s="254"/>
      <c r="AB225" s="253">
        <f t="shared" si="25"/>
        <v>0</v>
      </c>
      <c r="AC225" s="242"/>
    </row>
    <row r="226" ht="14.25" customHeight="1">
      <c r="C226" s="260" t="s">
        <v>44</v>
      </c>
      <c r="D226" s="261" t="str">
        <f>TEXT(WORKDAY(WORKDAY(TODAY()-1, CEILING(((486/24)-SUM(G236+N238+U237+AB238))*24,8)/8)-1, 1), "MMMM DD")
</f>
        <v>May 01</v>
      </c>
      <c r="I226" s="251">
        <v>16.0</v>
      </c>
      <c r="J226" s="252">
        <v>0.32083333333333336</v>
      </c>
      <c r="K226" s="252">
        <v>0.5</v>
      </c>
      <c r="L226" s="252">
        <v>0.5416666666666666</v>
      </c>
      <c r="M226" s="252">
        <v>0.7083333333333334</v>
      </c>
      <c r="N226" s="253">
        <f>MIN(K226,TIME(12,0,0))-J226+MIN(M226,TIME(17,0,0))-MAX(L226,TIME(13,0,0))
</f>
        <v>0.3458333333</v>
      </c>
      <c r="O226" s="159"/>
      <c r="P226" s="251">
        <v>17.0</v>
      </c>
      <c r="Q226" s="254">
        <v>0.33194444444444443</v>
      </c>
      <c r="R226" s="254">
        <v>0.5020833333333333</v>
      </c>
      <c r="S226" s="254">
        <v>0.5243055555555556</v>
      </c>
      <c r="T226" s="254">
        <v>0.7090277777777778</v>
      </c>
      <c r="U226" s="253">
        <f t="shared" si="24"/>
        <v>0.3347222222</v>
      </c>
      <c r="V226" s="55"/>
      <c r="W226" s="251">
        <v>17.0</v>
      </c>
      <c r="X226" s="252"/>
      <c r="Y226" s="252"/>
      <c r="Z226" s="252"/>
      <c r="AA226" s="254"/>
      <c r="AB226" s="253">
        <f t="shared" si="25"/>
        <v>0</v>
      </c>
      <c r="AC226" s="242"/>
    </row>
    <row r="227" ht="14.25" customHeight="1">
      <c r="I227" s="251">
        <v>17.0</v>
      </c>
      <c r="J227" s="256"/>
      <c r="K227" s="256"/>
      <c r="L227" s="256"/>
      <c r="M227" s="256"/>
      <c r="N227" s="256"/>
      <c r="O227" s="159"/>
      <c r="P227" s="251">
        <v>18.0</v>
      </c>
      <c r="Q227" s="254">
        <v>0.3375</v>
      </c>
      <c r="R227" s="254">
        <v>0.5020833333333333</v>
      </c>
      <c r="S227" s="254">
        <v>0.5243055555555556</v>
      </c>
      <c r="T227" s="254">
        <v>0.7090277777777778</v>
      </c>
      <c r="U227" s="253">
        <f t="shared" si="24"/>
        <v>0.3291666667</v>
      </c>
      <c r="V227" s="55"/>
      <c r="W227" s="251">
        <v>20.0</v>
      </c>
      <c r="X227" s="252"/>
      <c r="Y227" s="252"/>
      <c r="Z227" s="252"/>
      <c r="AA227" s="254"/>
      <c r="AB227" s="253">
        <f t="shared" si="25"/>
        <v>0</v>
      </c>
      <c r="AC227" s="242"/>
    </row>
    <row r="228" ht="14.25" customHeight="1">
      <c r="I228" s="251">
        <v>18.0</v>
      </c>
      <c r="J228" s="252">
        <v>0.32708333333333334</v>
      </c>
      <c r="K228" s="252">
        <v>0.5</v>
      </c>
      <c r="L228" s="252">
        <v>0.5243055555555556</v>
      </c>
      <c r="M228" s="252">
        <v>0.7083333333333334</v>
      </c>
      <c r="N228" s="253">
        <f t="shared" ref="N228:N230" si="26">MIN(K228,TIME(12,0,0))-J228+MIN(M228,TIME(17,0,0))-MAX(L228,TIME(13,0,0))
</f>
        <v>0.3395833333</v>
      </c>
      <c r="O228" s="159"/>
      <c r="P228" s="251">
        <v>19.0</v>
      </c>
      <c r="Q228" s="254">
        <v>0.3298611111111111</v>
      </c>
      <c r="R228" s="254">
        <v>0.5020833333333333</v>
      </c>
      <c r="S228" s="254">
        <v>0.5381944444444444</v>
      </c>
      <c r="T228" s="254">
        <v>0.7111111111111111</v>
      </c>
      <c r="U228" s="253">
        <f t="shared" si="24"/>
        <v>0.3368055556</v>
      </c>
      <c r="V228" s="55"/>
      <c r="W228" s="255">
        <v>22.0</v>
      </c>
      <c r="X228" s="256"/>
      <c r="Y228" s="256"/>
      <c r="Z228" s="256"/>
      <c r="AA228" s="256"/>
      <c r="AB228" s="253">
        <f t="shared" si="25"/>
        <v>0</v>
      </c>
      <c r="AC228" s="242"/>
    </row>
    <row r="229" ht="14.25" customHeight="1">
      <c r="C229" s="55" t="s">
        <v>45</v>
      </c>
      <c r="D229" s="262">
        <f>B59-AF222</f>
        <v>4.788888889</v>
      </c>
      <c r="I229" s="251">
        <v>19.0</v>
      </c>
      <c r="J229" s="252">
        <v>0.3333333333333333</v>
      </c>
      <c r="K229" s="252">
        <v>0.5</v>
      </c>
      <c r="L229" s="252">
        <v>0.5416666666666666</v>
      </c>
      <c r="M229" s="252">
        <v>0.7083333333333334</v>
      </c>
      <c r="N229" s="253">
        <f t="shared" si="26"/>
        <v>0.3333333333</v>
      </c>
      <c r="O229" s="159"/>
      <c r="P229" s="255">
        <v>23.0</v>
      </c>
      <c r="Q229" s="254">
        <v>0.32430555555555557</v>
      </c>
      <c r="R229" s="254">
        <v>0.5020833333333333</v>
      </c>
      <c r="S229" s="254">
        <v>0.5381944444444444</v>
      </c>
      <c r="T229" s="254">
        <v>0.7111111111111111</v>
      </c>
      <c r="U229" s="253">
        <f t="shared" si="24"/>
        <v>0.3423611111</v>
      </c>
      <c r="V229" s="55"/>
      <c r="W229" s="255">
        <v>23.0</v>
      </c>
      <c r="X229" s="252"/>
      <c r="Y229" s="252"/>
      <c r="Z229" s="252"/>
      <c r="AA229" s="254"/>
      <c r="AB229" s="253">
        <f t="shared" si="25"/>
        <v>0</v>
      </c>
      <c r="AC229" s="242"/>
    </row>
    <row r="230" ht="14.25" customHeight="1">
      <c r="A230" s="159"/>
      <c r="I230" s="251">
        <v>20.0</v>
      </c>
      <c r="J230" s="252">
        <v>0.3236111111111111</v>
      </c>
      <c r="K230" s="252">
        <v>0.5201388888888889</v>
      </c>
      <c r="L230" s="252">
        <v>0.5416666666666666</v>
      </c>
      <c r="M230" s="252">
        <v>0.7083333333333334</v>
      </c>
      <c r="N230" s="253">
        <f t="shared" si="26"/>
        <v>0.3430555556</v>
      </c>
      <c r="O230" s="159"/>
      <c r="P230" s="255">
        <v>24.0</v>
      </c>
      <c r="Q230" s="254">
        <v>0.33125</v>
      </c>
      <c r="R230" s="254">
        <v>0.5020833333333333</v>
      </c>
      <c r="S230" s="254">
        <v>0.5368055555555555</v>
      </c>
      <c r="T230" s="254">
        <v>0.7111111111111111</v>
      </c>
      <c r="U230" s="253">
        <f t="shared" si="24"/>
        <v>0.3354166667</v>
      </c>
      <c r="V230" s="263"/>
      <c r="W230" s="255">
        <v>24.0</v>
      </c>
      <c r="X230" s="252"/>
      <c r="Y230" s="252"/>
      <c r="Z230" s="252"/>
      <c r="AA230" s="254"/>
      <c r="AB230" s="253">
        <f t="shared" si="25"/>
        <v>0</v>
      </c>
      <c r="AC230" s="242"/>
    </row>
    <row r="231" ht="14.25" customHeight="1">
      <c r="A231" s="159"/>
      <c r="B231" s="237" t="s">
        <v>0</v>
      </c>
      <c r="C231" s="238" t="s">
        <v>1</v>
      </c>
      <c r="D231" s="239"/>
      <c r="E231" s="239"/>
      <c r="F231" s="240"/>
      <c r="G231" s="237" t="s">
        <v>2</v>
      </c>
      <c r="I231" s="255">
        <v>22.0</v>
      </c>
      <c r="J231" s="256"/>
      <c r="K231" s="256"/>
      <c r="L231" s="256"/>
      <c r="M231" s="256"/>
      <c r="N231" s="256"/>
      <c r="O231" s="159"/>
      <c r="P231" s="255">
        <v>25.0</v>
      </c>
      <c r="Q231" s="254">
        <v>0.3333333333333333</v>
      </c>
      <c r="R231" s="254">
        <v>0.5020833333333333</v>
      </c>
      <c r="S231" s="254">
        <v>0.5368055555555555</v>
      </c>
      <c r="T231" s="254">
        <v>0.7111111111111111</v>
      </c>
      <c r="U231" s="253">
        <f t="shared" si="24"/>
        <v>0.3333333333</v>
      </c>
      <c r="V231" s="55"/>
      <c r="W231" s="255">
        <v>27.0</v>
      </c>
      <c r="X231" s="252"/>
      <c r="Y231" s="252"/>
      <c r="Z231" s="252"/>
      <c r="AA231" s="254"/>
      <c r="AB231" s="253">
        <f t="shared" si="25"/>
        <v>0</v>
      </c>
      <c r="AC231" s="242"/>
    </row>
    <row r="232" ht="14.25" customHeight="1">
      <c r="A232" s="159"/>
      <c r="B232" s="244"/>
      <c r="C232" s="238" t="s">
        <v>6</v>
      </c>
      <c r="D232" s="240"/>
      <c r="E232" s="238" t="s">
        <v>7</v>
      </c>
      <c r="F232" s="240"/>
      <c r="G232" s="244"/>
      <c r="I232" s="255">
        <v>23.0</v>
      </c>
      <c r="J232" s="252">
        <v>0.3215277777777778</v>
      </c>
      <c r="K232" s="252">
        <v>0.5</v>
      </c>
      <c r="L232" s="252">
        <v>0.5416666666666666</v>
      </c>
      <c r="M232" s="252">
        <v>0.7083333333333334</v>
      </c>
      <c r="N232" s="253">
        <f t="shared" ref="N232:N235" si="27">MIN(K232,TIME(12,0,0))-J232+MIN(M232,TIME(17,0,0))-MAX(L232,TIME(13,0,0))
</f>
        <v>0.3451388889</v>
      </c>
      <c r="O232" s="159"/>
      <c r="P232" s="255">
        <v>26.0</v>
      </c>
      <c r="Q232" s="256"/>
      <c r="R232" s="256"/>
      <c r="S232" s="256"/>
      <c r="T232" s="256"/>
      <c r="U232" s="253">
        <f>SUM(R232-Q232)+T232-S232</f>
        <v>0</v>
      </c>
      <c r="W232" s="255">
        <v>28.0</v>
      </c>
      <c r="X232" s="252"/>
      <c r="Y232" s="252"/>
      <c r="Z232" s="252"/>
      <c r="AA232" s="254"/>
      <c r="AB232" s="253">
        <f t="shared" si="25"/>
        <v>0</v>
      </c>
      <c r="AC232" s="242"/>
    </row>
    <row r="233" ht="14.25" customHeight="1">
      <c r="A233" s="159"/>
      <c r="B233" s="246"/>
      <c r="C233" s="247" t="s">
        <v>11</v>
      </c>
      <c r="D233" s="247" t="s">
        <v>12</v>
      </c>
      <c r="E233" s="247" t="s">
        <v>11</v>
      </c>
      <c r="F233" s="247" t="s">
        <v>12</v>
      </c>
      <c r="G233" s="246"/>
      <c r="I233" s="255">
        <v>24.0</v>
      </c>
      <c r="J233" s="252">
        <v>0.3229166666666667</v>
      </c>
      <c r="K233" s="252">
        <v>0.5</v>
      </c>
      <c r="L233" s="252">
        <v>0.5381944444444444</v>
      </c>
      <c r="M233" s="252">
        <v>0.7083333333333334</v>
      </c>
      <c r="N233" s="253">
        <f t="shared" si="27"/>
        <v>0.34375</v>
      </c>
      <c r="O233" s="159"/>
      <c r="P233" s="255">
        <v>27.0</v>
      </c>
      <c r="Q233" s="254">
        <v>0.3236111111111111</v>
      </c>
      <c r="R233" s="254">
        <v>0.5020833333333333</v>
      </c>
      <c r="S233" s="254">
        <v>0.5368055555555555</v>
      </c>
      <c r="T233" s="254">
        <v>0.7111111111111111</v>
      </c>
      <c r="U233" s="253">
        <f t="shared" ref="U233:U234" si="28">MIN(R233,TIME(12,0,0))-Q233+MIN(T233,TIME(17,0,0))-MAX(S233,TIME(13,0,0))
</f>
        <v>0.3430555556</v>
      </c>
      <c r="V233" s="55"/>
      <c r="W233" s="255">
        <v>29.0</v>
      </c>
      <c r="X233" s="256"/>
      <c r="Y233" s="256"/>
      <c r="Z233" s="256"/>
      <c r="AA233" s="256"/>
      <c r="AB233" s="253">
        <f t="shared" si="25"/>
        <v>0</v>
      </c>
      <c r="AC233" s="242"/>
    </row>
    <row r="234" ht="14.25" customHeight="1">
      <c r="A234" s="159"/>
      <c r="B234" s="251">
        <v>29.0</v>
      </c>
      <c r="C234" s="264">
        <v>0.3333333333333333</v>
      </c>
      <c r="D234" s="264">
        <v>0.5</v>
      </c>
      <c r="E234" s="264">
        <v>0.5416666666666666</v>
      </c>
      <c r="F234" s="264">
        <v>0.7083333333333334</v>
      </c>
      <c r="G234" s="265">
        <f t="shared" ref="G234:G235" si="29">SUM(D234-C234)+(F234-E234)</f>
        <v>0.3333333333</v>
      </c>
      <c r="I234" s="255">
        <v>25.0</v>
      </c>
      <c r="J234" s="252">
        <v>0.3263888888888889</v>
      </c>
      <c r="K234" s="252">
        <v>0.5</v>
      </c>
      <c r="L234" s="252">
        <v>0.5284722222222222</v>
      </c>
      <c r="M234" s="252">
        <v>0.7083333333333334</v>
      </c>
      <c r="N234" s="253">
        <f t="shared" si="27"/>
        <v>0.3402777778</v>
      </c>
      <c r="O234" s="159"/>
      <c r="P234" s="255">
        <v>30.0</v>
      </c>
      <c r="Q234" s="254">
        <v>0.32916666666666666</v>
      </c>
      <c r="R234" s="254">
        <v>0.5020833333333333</v>
      </c>
      <c r="S234" s="254">
        <v>0.5368055555555555</v>
      </c>
      <c r="T234" s="254">
        <v>0.7111111111111111</v>
      </c>
      <c r="U234" s="253">
        <f t="shared" si="28"/>
        <v>0.3375</v>
      </c>
      <c r="V234" s="266"/>
      <c r="W234" s="255">
        <v>30.0</v>
      </c>
      <c r="X234" s="256"/>
      <c r="Y234" s="256"/>
      <c r="Z234" s="256"/>
      <c r="AA234" s="256"/>
      <c r="AB234" s="253">
        <f t="shared" si="25"/>
        <v>0</v>
      </c>
      <c r="AC234" s="242"/>
    </row>
    <row r="235" ht="14.25" customHeight="1">
      <c r="A235" s="159"/>
      <c r="B235" s="251">
        <v>30.0</v>
      </c>
      <c r="C235" s="264">
        <v>0.325</v>
      </c>
      <c r="D235" s="264">
        <v>0.5</v>
      </c>
      <c r="E235" s="264">
        <v>0.5416666666666666</v>
      </c>
      <c r="F235" s="264">
        <v>0.7083333333333334</v>
      </c>
      <c r="G235" s="265">
        <f t="shared" si="29"/>
        <v>0.3416666667</v>
      </c>
      <c r="I235" s="255">
        <v>26.0</v>
      </c>
      <c r="J235" s="252">
        <v>0.32916666666666666</v>
      </c>
      <c r="K235" s="252">
        <v>0.5</v>
      </c>
      <c r="L235" s="252">
        <v>0.5201388888888889</v>
      </c>
      <c r="M235" s="252">
        <v>0.7083333333333334</v>
      </c>
      <c r="N235" s="253">
        <f t="shared" si="27"/>
        <v>0.3375</v>
      </c>
      <c r="O235" s="159"/>
      <c r="P235" s="255">
        <v>31.0</v>
      </c>
      <c r="Q235" s="254">
        <v>0.32083333333333336</v>
      </c>
      <c r="R235" s="267">
        <v>0.5</v>
      </c>
      <c r="S235" s="254"/>
      <c r="T235" s="254"/>
      <c r="U235" s="253">
        <f t="shared" ref="U235:U236" si="30">SUM(R235-Q235)+T235-S235</f>
        <v>0.1791666667</v>
      </c>
      <c r="V235" s="55"/>
      <c r="W235" s="255"/>
      <c r="X235" s="256"/>
      <c r="Y235" s="256"/>
      <c r="Z235" s="256"/>
      <c r="AA235" s="256"/>
      <c r="AB235" s="256"/>
      <c r="AC235" s="268"/>
    </row>
    <row r="236" ht="14.25" customHeight="1">
      <c r="A236" s="159"/>
      <c r="B236" s="269" t="s">
        <v>17</v>
      </c>
      <c r="C236" s="239"/>
      <c r="D236" s="239"/>
      <c r="E236" s="239"/>
      <c r="F236" s="240"/>
      <c r="G236" s="270">
        <f>SUM(G234:G235)</f>
        <v>0.675</v>
      </c>
      <c r="I236" s="255">
        <v>27.0</v>
      </c>
      <c r="J236" s="252">
        <v>0.3333333333333333</v>
      </c>
      <c r="K236" s="252">
        <v>0.5</v>
      </c>
      <c r="L236" s="256"/>
      <c r="M236" s="256"/>
      <c r="N236" s="253">
        <f t="shared" ref="N236:N237" si="31">SUM(K236-J236)+M236-L236</f>
        <v>0.1666666667</v>
      </c>
      <c r="O236" s="159"/>
      <c r="P236" s="271"/>
      <c r="Q236" s="256"/>
      <c r="R236" s="256"/>
      <c r="S236" s="256"/>
      <c r="T236" s="256"/>
      <c r="U236" s="253">
        <f t="shared" si="30"/>
        <v>0</v>
      </c>
      <c r="W236" s="255"/>
      <c r="X236" s="256"/>
      <c r="Y236" s="256"/>
      <c r="Z236" s="256"/>
      <c r="AA236" s="256"/>
      <c r="AB236" s="256"/>
      <c r="AC236" s="268"/>
    </row>
    <row r="237" ht="14.25" customHeight="1">
      <c r="A237" s="159"/>
      <c r="B237" s="159"/>
      <c r="C237" s="159"/>
      <c r="D237" s="192"/>
      <c r="E237" s="159"/>
      <c r="F237" s="159"/>
      <c r="G237" s="159"/>
      <c r="I237" s="255">
        <v>28.0</v>
      </c>
      <c r="J237" s="252">
        <v>0.3326388888888889</v>
      </c>
      <c r="K237" s="252">
        <v>0.5</v>
      </c>
      <c r="L237" s="252">
        <v>0.5416666666666666</v>
      </c>
      <c r="M237" s="252">
        <v>0.6333333333333333</v>
      </c>
      <c r="N237" s="253">
        <f t="shared" si="31"/>
        <v>0.2590277778</v>
      </c>
      <c r="O237" s="159"/>
      <c r="P237" s="269" t="s">
        <v>17</v>
      </c>
      <c r="Q237" s="239"/>
      <c r="R237" s="239"/>
      <c r="S237" s="239"/>
      <c r="T237" s="240"/>
      <c r="U237" s="272">
        <f>SUM(U215:U236)</f>
        <v>6.425</v>
      </c>
      <c r="W237" s="255"/>
      <c r="X237" s="256"/>
      <c r="Y237" s="256"/>
      <c r="Z237" s="256"/>
      <c r="AA237" s="256"/>
      <c r="AB237" s="256"/>
      <c r="AC237" s="268"/>
    </row>
    <row r="238" ht="14.25" customHeight="1">
      <c r="I238" s="269" t="s">
        <v>17</v>
      </c>
      <c r="J238" s="239"/>
      <c r="K238" s="239"/>
      <c r="L238" s="239"/>
      <c r="M238" s="240"/>
      <c r="N238" s="272">
        <f>SUM(N215:N237)</f>
        <v>6.577083333</v>
      </c>
      <c r="O238" s="159"/>
      <c r="P238" s="159"/>
      <c r="Q238" s="159"/>
      <c r="R238" s="159"/>
      <c r="S238" s="159"/>
      <c r="T238" s="159"/>
      <c r="U238" s="159"/>
      <c r="W238" s="269" t="s">
        <v>17</v>
      </c>
      <c r="X238" s="239"/>
      <c r="Y238" s="239"/>
      <c r="Z238" s="239"/>
      <c r="AA238" s="240"/>
      <c r="AB238" s="272">
        <f>SUM(AB215:AB237)</f>
        <v>1.784027778</v>
      </c>
      <c r="AC238" s="273"/>
    </row>
    <row r="239" ht="14.25" customHeight="1"/>
    <row r="240" ht="14.25" customHeight="1"/>
    <row r="241" ht="14.25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35"/>
      <c r="W241" s="235"/>
      <c r="X241" s="235"/>
      <c r="Y241" s="235"/>
      <c r="Z241" s="235"/>
      <c r="AA241" s="235"/>
      <c r="AB241" s="235"/>
      <c r="AC241" s="235"/>
      <c r="AD241" s="235"/>
      <c r="AE241" s="235"/>
      <c r="AF241" s="235"/>
      <c r="AG241" s="235"/>
      <c r="AH241" s="235"/>
      <c r="AI241" s="235"/>
      <c r="AJ241" s="235"/>
      <c r="AK241" s="235"/>
      <c r="AL241" s="235"/>
    </row>
    <row r="242" ht="14.25" customHeight="1"/>
    <row r="243" ht="14.25" customHeight="1"/>
    <row r="244" ht="14.25" customHeight="1">
      <c r="I244" s="274" t="s">
        <v>0</v>
      </c>
      <c r="J244" s="275" t="s">
        <v>3</v>
      </c>
      <c r="K244" s="239"/>
      <c r="L244" s="239"/>
      <c r="M244" s="240"/>
      <c r="N244" s="274" t="s">
        <v>2</v>
      </c>
      <c r="P244" s="276" t="s">
        <v>0</v>
      </c>
      <c r="Q244" s="277" t="s">
        <v>4</v>
      </c>
      <c r="R244" s="4"/>
      <c r="S244" s="4"/>
      <c r="T244" s="5"/>
      <c r="U244" s="276" t="s">
        <v>2</v>
      </c>
      <c r="W244" s="278" t="s">
        <v>0</v>
      </c>
      <c r="X244" s="279" t="s">
        <v>5</v>
      </c>
      <c r="Y244" s="4"/>
      <c r="Z244" s="4"/>
      <c r="AA244" s="5"/>
      <c r="AB244" s="278" t="s">
        <v>2</v>
      </c>
      <c r="AD244" s="280" t="s">
        <v>46</v>
      </c>
      <c r="AE244" s="281" t="s">
        <v>9</v>
      </c>
      <c r="AF244" s="281" t="s">
        <v>10</v>
      </c>
    </row>
    <row r="245" ht="14.25" customHeight="1">
      <c r="H245" s="159"/>
      <c r="I245" s="244"/>
      <c r="J245" s="275" t="s">
        <v>6</v>
      </c>
      <c r="K245" s="240"/>
      <c r="L245" s="275" t="s">
        <v>7</v>
      </c>
      <c r="M245" s="240"/>
      <c r="N245" s="244"/>
      <c r="P245" s="10"/>
      <c r="Q245" s="277" t="s">
        <v>6</v>
      </c>
      <c r="R245" s="5"/>
      <c r="S245" s="277" t="s">
        <v>7</v>
      </c>
      <c r="T245" s="5"/>
      <c r="U245" s="10"/>
      <c r="W245" s="10"/>
      <c r="X245" s="282" t="s">
        <v>6</v>
      </c>
      <c r="Y245" s="5"/>
      <c r="Z245" s="282" t="s">
        <v>7</v>
      </c>
      <c r="AA245" s="5"/>
      <c r="AB245" s="10"/>
      <c r="AD245" s="125" t="s">
        <v>13</v>
      </c>
      <c r="AE245" s="207" t="s">
        <v>14</v>
      </c>
      <c r="AF245" s="208">
        <f>sum(G266:G267)</f>
        <v>0.6666666667</v>
      </c>
    </row>
    <row r="246" ht="14.25" customHeight="1">
      <c r="H246" s="159"/>
      <c r="I246" s="246"/>
      <c r="J246" s="283" t="s">
        <v>11</v>
      </c>
      <c r="K246" s="283" t="s">
        <v>12</v>
      </c>
      <c r="L246" s="283" t="s">
        <v>11</v>
      </c>
      <c r="M246" s="283" t="s">
        <v>12</v>
      </c>
      <c r="N246" s="246"/>
      <c r="P246" s="13"/>
      <c r="Q246" s="284" t="s">
        <v>11</v>
      </c>
      <c r="R246" s="284" t="s">
        <v>12</v>
      </c>
      <c r="S246" s="284" t="s">
        <v>11</v>
      </c>
      <c r="T246" s="284" t="s">
        <v>12</v>
      </c>
      <c r="U246" s="13"/>
      <c r="W246" s="13"/>
      <c r="X246" s="285" t="s">
        <v>11</v>
      </c>
      <c r="Y246" s="285" t="s">
        <v>12</v>
      </c>
      <c r="Z246" s="285" t="s">
        <v>11</v>
      </c>
      <c r="AA246" s="285" t="s">
        <v>12</v>
      </c>
      <c r="AB246" s="13"/>
      <c r="AD246" s="125" t="s">
        <v>15</v>
      </c>
      <c r="AE246" s="211">
        <v>46037.0</v>
      </c>
      <c r="AF246" s="208">
        <f>sum(N247:N257)</f>
        <v>3.1125</v>
      </c>
    </row>
    <row r="247" ht="14.25" customHeight="1">
      <c r="B247" s="286" t="s">
        <v>47</v>
      </c>
      <c r="C247" s="30"/>
      <c r="D247" s="30"/>
      <c r="E247" s="30"/>
      <c r="F247" s="30"/>
      <c r="G247" s="31"/>
      <c r="H247" s="159"/>
      <c r="I247" s="251">
        <v>2.0</v>
      </c>
      <c r="J247" s="287">
        <v>0.30972222222222223</v>
      </c>
      <c r="K247" s="287">
        <v>0.5</v>
      </c>
      <c r="L247" s="287">
        <v>0.5416666666666666</v>
      </c>
      <c r="M247" s="287">
        <v>0.7083333333333334</v>
      </c>
      <c r="N247" s="253">
        <f t="shared" ref="N247:N269" si="32">sum(K247-J247)+M247-L247</f>
        <v>0.3569444444</v>
      </c>
      <c r="P247" s="212">
        <v>2.0</v>
      </c>
      <c r="Q247" s="288">
        <v>0.3229166666666667</v>
      </c>
      <c r="R247" s="288">
        <v>0.5</v>
      </c>
      <c r="S247" s="288">
        <v>0.5416666666666666</v>
      </c>
      <c r="T247" s="289">
        <v>0.7111111111111111</v>
      </c>
      <c r="U247" s="216">
        <f t="shared" ref="U247:U276" si="33">sum(R247-Q247)+T247-S247</f>
        <v>0.3465277778</v>
      </c>
      <c r="W247" s="290">
        <v>1.0</v>
      </c>
      <c r="X247" s="288"/>
      <c r="Y247" s="288"/>
      <c r="Z247" s="288"/>
      <c r="AA247" s="288"/>
      <c r="AB247" s="291">
        <f t="shared" ref="AB247:AB276" si="34">SUM(Y247-X247)+(AA247-Z247)</f>
        <v>0</v>
      </c>
      <c r="AD247" s="125" t="s">
        <v>15</v>
      </c>
      <c r="AE247" s="207" t="s">
        <v>16</v>
      </c>
      <c r="AF247" s="208">
        <f>sum(N258:N268)</f>
        <v>3.503472222</v>
      </c>
    </row>
    <row r="248" ht="14.25" customHeight="1">
      <c r="B248" s="33"/>
      <c r="C248" s="34"/>
      <c r="D248" s="34"/>
      <c r="E248" s="34"/>
      <c r="F248" s="34"/>
      <c r="G248" s="35"/>
      <c r="H248" s="159"/>
      <c r="I248" s="251">
        <v>3.0</v>
      </c>
      <c r="J248" s="292">
        <v>0.3125</v>
      </c>
      <c r="K248" s="292">
        <v>0.5</v>
      </c>
      <c r="L248" s="292">
        <v>0.5416666666666666</v>
      </c>
      <c r="M248" s="292">
        <v>0.7083333333333334</v>
      </c>
      <c r="N248" s="253">
        <f t="shared" si="32"/>
        <v>0.3541666667</v>
      </c>
      <c r="P248" s="212">
        <v>3.0</v>
      </c>
      <c r="Q248" s="288">
        <v>0.3194444444444444</v>
      </c>
      <c r="R248" s="289">
        <v>0.5</v>
      </c>
      <c r="S248" s="288">
        <v>0.5416666666666666</v>
      </c>
      <c r="T248" s="289">
        <v>0.7090277777777778</v>
      </c>
      <c r="U248" s="216">
        <f t="shared" si="33"/>
        <v>0.3479166667</v>
      </c>
      <c r="W248" s="290">
        <v>2.0</v>
      </c>
      <c r="X248" s="293"/>
      <c r="Y248" s="293"/>
      <c r="Z248" s="293"/>
      <c r="AA248" s="294"/>
      <c r="AB248" s="291">
        <f t="shared" si="34"/>
        <v>0</v>
      </c>
      <c r="AD248" s="125" t="s">
        <v>18</v>
      </c>
      <c r="AE248" s="211">
        <v>46037.0</v>
      </c>
      <c r="AF248" s="208">
        <f>sum(U247:U260)</f>
        <v>3.129861111</v>
      </c>
    </row>
    <row r="249" ht="14.25" customHeight="1">
      <c r="B249" s="295" t="s">
        <v>42</v>
      </c>
      <c r="C249" s="4"/>
      <c r="D249" s="4"/>
      <c r="E249" s="4"/>
      <c r="F249" s="4"/>
      <c r="G249" s="5"/>
      <c r="H249" s="159"/>
      <c r="I249" s="251">
        <v>4.0</v>
      </c>
      <c r="J249" s="292">
        <v>0.3125</v>
      </c>
      <c r="K249" s="292">
        <v>0.5</v>
      </c>
      <c r="L249" s="292">
        <v>0.5416666666666666</v>
      </c>
      <c r="M249" s="292">
        <v>0.7083333333333334</v>
      </c>
      <c r="N249" s="253">
        <f t="shared" si="32"/>
        <v>0.3541666667</v>
      </c>
      <c r="P249" s="212">
        <v>4.0</v>
      </c>
      <c r="Q249" s="288">
        <v>0.3263888888888889</v>
      </c>
      <c r="R249" s="289">
        <v>0.5</v>
      </c>
      <c r="S249" s="288">
        <v>0.5416666666666666</v>
      </c>
      <c r="T249" s="289">
        <v>0.7097222222222223</v>
      </c>
      <c r="U249" s="216">
        <f t="shared" si="33"/>
        <v>0.3416666667</v>
      </c>
      <c r="W249" s="290">
        <v>3.0</v>
      </c>
      <c r="X249" s="294"/>
      <c r="Y249" s="293"/>
      <c r="Z249" s="293"/>
      <c r="AA249" s="294"/>
      <c r="AB249" s="291">
        <f t="shared" si="34"/>
        <v>0</v>
      </c>
      <c r="AD249" s="125" t="s">
        <v>18</v>
      </c>
      <c r="AE249" s="207" t="s">
        <v>19</v>
      </c>
      <c r="AF249" s="208">
        <f>sum(U261:U276)</f>
        <v>3.785416667</v>
      </c>
    </row>
    <row r="250" ht="14.25" customHeight="1">
      <c r="B250" s="296" t="str">
        <f>TEXT(SUM(G268,N270,U277,AB277),"[h] ""hrs"" mm ""mins""")</f>
        <v>385 hrs 58 mins</v>
      </c>
      <c r="C250" s="30"/>
      <c r="D250" s="30"/>
      <c r="E250" s="30"/>
      <c r="F250" s="30"/>
      <c r="G250" s="31"/>
      <c r="H250" s="159"/>
      <c r="I250" s="251">
        <v>5.0</v>
      </c>
      <c r="J250" s="292">
        <v>0.3263888888888889</v>
      </c>
      <c r="K250" s="292">
        <v>0.5</v>
      </c>
      <c r="L250" s="292">
        <v>0.5416666666666666</v>
      </c>
      <c r="M250" s="292">
        <v>0.7083333333333334</v>
      </c>
      <c r="N250" s="253">
        <f t="shared" si="32"/>
        <v>0.3402777778</v>
      </c>
      <c r="P250" s="212">
        <v>5.0</v>
      </c>
      <c r="Q250" s="288">
        <v>0.3236111111111111</v>
      </c>
      <c r="R250" s="289">
        <v>0.5</v>
      </c>
      <c r="S250" s="288">
        <v>0.5416666666666666</v>
      </c>
      <c r="T250" s="289">
        <v>0.7104166666666667</v>
      </c>
      <c r="U250" s="216">
        <f t="shared" si="33"/>
        <v>0.3451388889</v>
      </c>
      <c r="W250" s="290">
        <v>4.0</v>
      </c>
      <c r="X250" s="294"/>
      <c r="Y250" s="293"/>
      <c r="Z250" s="293"/>
      <c r="AA250" s="294"/>
      <c r="AB250" s="291">
        <f t="shared" si="34"/>
        <v>0</v>
      </c>
      <c r="AD250" s="125" t="s">
        <v>5</v>
      </c>
      <c r="AE250" s="211">
        <v>46037.0</v>
      </c>
      <c r="AF250" s="208">
        <f>sum(AB247:AB256)</f>
        <v>1.509027778</v>
      </c>
    </row>
    <row r="251" ht="14.25" customHeight="1">
      <c r="B251" s="41"/>
      <c r="G251" s="42"/>
      <c r="H251" s="159"/>
      <c r="I251" s="251">
        <v>6.0</v>
      </c>
      <c r="J251" s="292">
        <v>0.3263888888888889</v>
      </c>
      <c r="K251" s="292">
        <v>0.5</v>
      </c>
      <c r="L251" s="292">
        <v>0.5416666666666666</v>
      </c>
      <c r="M251" s="292">
        <v>0.7083333333333334</v>
      </c>
      <c r="N251" s="253">
        <f t="shared" si="32"/>
        <v>0.3402777778</v>
      </c>
      <c r="P251" s="212">
        <v>6.0</v>
      </c>
      <c r="Q251" s="293"/>
      <c r="R251" s="293"/>
      <c r="S251" s="293"/>
      <c r="T251" s="293"/>
      <c r="U251" s="216">
        <f t="shared" si="33"/>
        <v>0</v>
      </c>
      <c r="W251" s="290">
        <v>5.0</v>
      </c>
      <c r="X251" s="288"/>
      <c r="Y251" s="288"/>
      <c r="Z251" s="288"/>
      <c r="AA251" s="288"/>
      <c r="AB251" s="291">
        <f t="shared" si="34"/>
        <v>0</v>
      </c>
      <c r="AD251" s="125" t="s">
        <v>5</v>
      </c>
      <c r="AE251" s="207" t="s">
        <v>21</v>
      </c>
      <c r="AF251" s="208">
        <f>sum(AB257:AB276)</f>
        <v>0.375</v>
      </c>
    </row>
    <row r="252" ht="14.25" customHeight="1">
      <c r="B252" s="41"/>
      <c r="G252" s="42"/>
      <c r="H252" s="159"/>
      <c r="I252" s="255">
        <v>9.0</v>
      </c>
      <c r="J252" s="292"/>
      <c r="K252" s="292"/>
      <c r="L252" s="292"/>
      <c r="M252" s="292"/>
      <c r="N252" s="253">
        <f t="shared" si="32"/>
        <v>0</v>
      </c>
      <c r="P252" s="212">
        <v>7.0</v>
      </c>
      <c r="Q252" s="297"/>
      <c r="R252" s="297"/>
      <c r="S252" s="297"/>
      <c r="T252" s="297"/>
      <c r="U252" s="216">
        <f t="shared" si="33"/>
        <v>0</v>
      </c>
      <c r="W252" s="290">
        <v>6.0</v>
      </c>
      <c r="X252" s="294">
        <v>0.29305555555555557</v>
      </c>
      <c r="Y252" s="294">
        <v>0.5069444444444444</v>
      </c>
      <c r="Z252" s="294">
        <v>0.5416666666666666</v>
      </c>
      <c r="AA252" s="294">
        <v>0.7152777777777778</v>
      </c>
      <c r="AB252" s="291">
        <f t="shared" si="34"/>
        <v>0.3875</v>
      </c>
      <c r="AD252" s="222"/>
      <c r="AE252" s="222"/>
      <c r="AF252" s="222"/>
    </row>
    <row r="253" ht="14.25" customHeight="1">
      <c r="B253" s="33"/>
      <c r="C253" s="34"/>
      <c r="D253" s="34"/>
      <c r="E253" s="34"/>
      <c r="F253" s="34"/>
      <c r="G253" s="35"/>
      <c r="I253" s="251">
        <v>10.0</v>
      </c>
      <c r="J253" s="292">
        <v>0.32708333333333334</v>
      </c>
      <c r="K253" s="292">
        <v>0.5</v>
      </c>
      <c r="L253" s="292">
        <v>0.5416666666666666</v>
      </c>
      <c r="M253" s="292">
        <v>0.7083333333333334</v>
      </c>
      <c r="N253" s="253">
        <f t="shared" si="32"/>
        <v>0.3395833333</v>
      </c>
      <c r="P253" s="212">
        <v>8.0</v>
      </c>
      <c r="Q253" s="288"/>
      <c r="R253" s="288"/>
      <c r="S253" s="288"/>
      <c r="T253" s="288"/>
      <c r="U253" s="216">
        <f t="shared" si="33"/>
        <v>0</v>
      </c>
      <c r="W253" s="290">
        <v>7.0</v>
      </c>
      <c r="X253" s="294">
        <v>0.3194444444444444</v>
      </c>
      <c r="Y253" s="294">
        <v>0.5083333333333333</v>
      </c>
      <c r="Z253" s="294">
        <v>0.5416666666666666</v>
      </c>
      <c r="AA253" s="294">
        <v>0.7166666666666667</v>
      </c>
      <c r="AB253" s="291">
        <f t="shared" si="34"/>
        <v>0.3638888889</v>
      </c>
      <c r="AD253" s="222"/>
      <c r="AE253" s="222"/>
      <c r="AF253" s="222"/>
    </row>
    <row r="254" ht="14.25" customHeight="1">
      <c r="I254" s="251">
        <v>11.0</v>
      </c>
      <c r="J254" s="292">
        <v>0.3263888888888889</v>
      </c>
      <c r="K254" s="292">
        <v>0.5</v>
      </c>
      <c r="L254" s="292">
        <v>0.5416666666666666</v>
      </c>
      <c r="M254" s="292">
        <v>0.7083333333333334</v>
      </c>
      <c r="N254" s="253">
        <f t="shared" si="32"/>
        <v>0.3402777778</v>
      </c>
      <c r="P254" s="212">
        <v>9.0</v>
      </c>
      <c r="Q254" s="298">
        <v>0.325</v>
      </c>
      <c r="R254" s="298">
        <v>0.5</v>
      </c>
      <c r="S254" s="288">
        <v>0.5416666666666666</v>
      </c>
      <c r="T254" s="298">
        <v>0.7111111111111111</v>
      </c>
      <c r="U254" s="216">
        <f t="shared" si="33"/>
        <v>0.3444444444</v>
      </c>
      <c r="W254" s="290">
        <v>8.0</v>
      </c>
      <c r="X254" s="288">
        <v>0.2916666666666667</v>
      </c>
      <c r="Y254" s="288">
        <v>0.5069444444444444</v>
      </c>
      <c r="Z254" s="288">
        <v>0.5416666666666666</v>
      </c>
      <c r="AA254" s="288">
        <v>0.7083333333333334</v>
      </c>
      <c r="AB254" s="291">
        <f t="shared" si="34"/>
        <v>0.3819444444</v>
      </c>
      <c r="AD254" s="299"/>
      <c r="AE254" s="281" t="s">
        <v>17</v>
      </c>
      <c r="AF254" s="300">
        <f>sum(AF245:AF251)</f>
        <v>16.08194444</v>
      </c>
    </row>
    <row r="255" ht="14.25" customHeight="1">
      <c r="C255" s="301" t="s">
        <v>48</v>
      </c>
      <c r="D255" s="4"/>
      <c r="E255" s="4"/>
      <c r="F255" s="5"/>
      <c r="I255" s="251">
        <v>12.0</v>
      </c>
      <c r="J255" s="292">
        <v>0.3194444444444444</v>
      </c>
      <c r="K255" s="292">
        <v>0.5</v>
      </c>
      <c r="L255" s="292">
        <v>0.5416666666666666</v>
      </c>
      <c r="M255" s="292">
        <v>0.7083333333333334</v>
      </c>
      <c r="N255" s="253">
        <f t="shared" si="32"/>
        <v>0.3472222222</v>
      </c>
      <c r="P255" s="212">
        <v>10.0</v>
      </c>
      <c r="Q255" s="298">
        <v>0.325</v>
      </c>
      <c r="R255" s="298">
        <v>0.5</v>
      </c>
      <c r="S255" s="288">
        <v>0.5416666666666666</v>
      </c>
      <c r="T255" s="298">
        <v>0.7083333333333334</v>
      </c>
      <c r="U255" s="216">
        <f t="shared" si="33"/>
        <v>0.3416666667</v>
      </c>
      <c r="W255" s="290">
        <v>9.0</v>
      </c>
      <c r="X255" s="288"/>
      <c r="Y255" s="288"/>
      <c r="Z255" s="288"/>
      <c r="AA255" s="288"/>
      <c r="AB255" s="291">
        <f t="shared" si="34"/>
        <v>0</v>
      </c>
    </row>
    <row r="256" ht="14.25" customHeight="1">
      <c r="C256" s="302" t="str">
        <f>INT(((486/24)-SUM(G268+N270+U277+AB277))*24/8) &amp; " days"
</f>
        <v>12 days</v>
      </c>
      <c r="D256" s="30"/>
      <c r="E256" s="30"/>
      <c r="F256" s="31"/>
      <c r="I256" s="251">
        <v>13.0</v>
      </c>
      <c r="J256" s="292">
        <v>0.32708333333333334</v>
      </c>
      <c r="K256" s="292">
        <v>0.5</v>
      </c>
      <c r="L256" s="292">
        <v>0.5416666666666666</v>
      </c>
      <c r="M256" s="292">
        <v>0.7083333333333334</v>
      </c>
      <c r="N256" s="253">
        <f t="shared" si="32"/>
        <v>0.3395833333</v>
      </c>
      <c r="P256" s="212">
        <v>11.0</v>
      </c>
      <c r="Q256" s="298">
        <v>0.2951388888888889</v>
      </c>
      <c r="R256" s="298">
        <v>0.5</v>
      </c>
      <c r="S256" s="288">
        <v>0.5416666666666666</v>
      </c>
      <c r="T256" s="298">
        <v>0.7152777777777778</v>
      </c>
      <c r="U256" s="216">
        <f t="shared" si="33"/>
        <v>0.3784722222</v>
      </c>
      <c r="W256" s="303">
        <v>10.0</v>
      </c>
      <c r="X256" s="288">
        <v>0.29097222222222224</v>
      </c>
      <c r="Y256" s="288">
        <v>0.5</v>
      </c>
      <c r="Z256" s="288">
        <v>0.5416666666666666</v>
      </c>
      <c r="AA256" s="288">
        <v>0.7083333333333334</v>
      </c>
      <c r="AB256" s="291">
        <f t="shared" si="34"/>
        <v>0.3756944444</v>
      </c>
    </row>
    <row r="257" ht="14.25" customHeight="1">
      <c r="C257" s="41"/>
      <c r="F257" s="42"/>
      <c r="I257" s="251">
        <v>14.0</v>
      </c>
      <c r="J257" s="304"/>
      <c r="K257" s="304"/>
      <c r="L257" s="304"/>
      <c r="M257" s="304"/>
      <c r="N257" s="253">
        <f t="shared" si="32"/>
        <v>0</v>
      </c>
      <c r="P257" s="212">
        <v>12.0</v>
      </c>
      <c r="Q257" s="298">
        <v>0.32430555555555557</v>
      </c>
      <c r="R257" s="298">
        <v>0.5</v>
      </c>
      <c r="S257" s="298">
        <v>0.5416666666666666</v>
      </c>
      <c r="T257" s="298">
        <v>0.7083333333333334</v>
      </c>
      <c r="U257" s="216">
        <f t="shared" si="33"/>
        <v>0.3423611111</v>
      </c>
      <c r="W257" s="303">
        <v>11.0</v>
      </c>
      <c r="X257" s="288"/>
      <c r="Y257" s="288"/>
      <c r="Z257" s="288"/>
      <c r="AA257" s="288"/>
      <c r="AB257" s="291">
        <f t="shared" si="34"/>
        <v>0</v>
      </c>
    </row>
    <row r="258" ht="14.25" customHeight="1">
      <c r="B258" s="159"/>
      <c r="C258" s="33"/>
      <c r="D258" s="34"/>
      <c r="E258" s="34"/>
      <c r="F258" s="35"/>
      <c r="G258" s="159"/>
      <c r="I258" s="251">
        <v>16.0</v>
      </c>
      <c r="J258" s="292">
        <v>0.32083333333333336</v>
      </c>
      <c r="K258" s="292">
        <v>0.5</v>
      </c>
      <c r="L258" s="292">
        <v>0.5416666666666666</v>
      </c>
      <c r="M258" s="292">
        <v>0.7083333333333334</v>
      </c>
      <c r="N258" s="253">
        <f t="shared" si="32"/>
        <v>0.3458333333</v>
      </c>
      <c r="P258" s="212">
        <v>13.0</v>
      </c>
      <c r="Q258" s="298">
        <v>0.32569444444444445</v>
      </c>
      <c r="R258" s="298">
        <v>0.5</v>
      </c>
      <c r="S258" s="298">
        <v>0.5416666666666666</v>
      </c>
      <c r="T258" s="298">
        <v>0.7090277777777778</v>
      </c>
      <c r="U258" s="216">
        <f t="shared" si="33"/>
        <v>0.3416666667</v>
      </c>
      <c r="W258" s="303">
        <v>12.0</v>
      </c>
      <c r="X258" s="288"/>
      <c r="Y258" s="288"/>
      <c r="Z258" s="288"/>
      <c r="AA258" s="288"/>
      <c r="AB258" s="291">
        <f t="shared" si="34"/>
        <v>0</v>
      </c>
    </row>
    <row r="259" ht="14.25" customHeight="1">
      <c r="C259" s="305" t="s">
        <v>44</v>
      </c>
      <c r="D259" s="306" t="str">
        <f>TEXT(WORKDAY(WORKDAY(TODAY()-1, CEILING(((486/24)-SUM(G268+N270+U277+AB277))*24,8)/8)-1, 1), "MMMM DD")
</f>
        <v>April 29</v>
      </c>
      <c r="E259" s="30"/>
      <c r="F259" s="31"/>
      <c r="I259" s="251">
        <v>17.0</v>
      </c>
      <c r="J259" s="292">
        <v>0.3159722222222222</v>
      </c>
      <c r="K259" s="292">
        <v>0.5</v>
      </c>
      <c r="L259" s="292">
        <v>0.5416666666666666</v>
      </c>
      <c r="M259" s="292">
        <v>0.7083333333333334</v>
      </c>
      <c r="N259" s="253">
        <f t="shared" si="32"/>
        <v>0.3506944444</v>
      </c>
      <c r="P259" s="212">
        <v>14.0</v>
      </c>
      <c r="Q259" s="297"/>
      <c r="R259" s="297"/>
      <c r="S259" s="297"/>
      <c r="T259" s="297"/>
      <c r="U259" s="216">
        <f t="shared" si="33"/>
        <v>0</v>
      </c>
      <c r="W259" s="303">
        <v>13.0</v>
      </c>
      <c r="X259" s="288">
        <v>0.29305555555555557</v>
      </c>
      <c r="Y259" s="288">
        <v>0.5013888888888889</v>
      </c>
      <c r="Z259" s="288">
        <v>0.5416666666666666</v>
      </c>
      <c r="AA259" s="288">
        <v>0.7083333333333334</v>
      </c>
      <c r="AB259" s="291">
        <f t="shared" si="34"/>
        <v>0.375</v>
      </c>
    </row>
    <row r="260" ht="14.25" customHeight="1">
      <c r="C260" s="13"/>
      <c r="D260" s="33"/>
      <c r="E260" s="34"/>
      <c r="F260" s="35"/>
      <c r="I260" s="251">
        <v>18.0</v>
      </c>
      <c r="J260" s="292">
        <v>0.3125</v>
      </c>
      <c r="K260" s="292">
        <v>0.5</v>
      </c>
      <c r="L260" s="292">
        <v>0.5416666666666666</v>
      </c>
      <c r="M260" s="292">
        <v>0.7083333333333334</v>
      </c>
      <c r="N260" s="253">
        <f t="shared" si="32"/>
        <v>0.3541666667</v>
      </c>
      <c r="P260" s="212">
        <v>15.0</v>
      </c>
      <c r="Q260" s="288"/>
      <c r="R260" s="293"/>
      <c r="S260" s="293"/>
      <c r="T260" s="293"/>
      <c r="U260" s="216">
        <f t="shared" si="33"/>
        <v>0</v>
      </c>
      <c r="W260" s="303">
        <v>14.0</v>
      </c>
      <c r="X260" s="288"/>
      <c r="Y260" s="288"/>
      <c r="Z260" s="288"/>
      <c r="AA260" s="288"/>
      <c r="AB260" s="291">
        <f t="shared" si="34"/>
        <v>0</v>
      </c>
    </row>
    <row r="261" ht="14.25" customHeight="1">
      <c r="I261" s="251">
        <v>19.0</v>
      </c>
      <c r="J261" s="292">
        <v>0.3215277777777778</v>
      </c>
      <c r="K261" s="292">
        <v>0.5</v>
      </c>
      <c r="L261" s="292">
        <v>0.5416666666666666</v>
      </c>
      <c r="M261" s="292">
        <v>0.7083333333333334</v>
      </c>
      <c r="N261" s="253">
        <f t="shared" si="32"/>
        <v>0.3451388889</v>
      </c>
      <c r="P261" s="212">
        <v>16.0</v>
      </c>
      <c r="Q261" s="298">
        <v>0.3236111111111111</v>
      </c>
      <c r="R261" s="298">
        <v>0.5</v>
      </c>
      <c r="S261" s="298">
        <v>0.5416666666666666</v>
      </c>
      <c r="T261" s="298">
        <v>0.7083333333333334</v>
      </c>
      <c r="U261" s="216">
        <f t="shared" si="33"/>
        <v>0.3430555556</v>
      </c>
      <c r="W261" s="303">
        <v>15.0</v>
      </c>
      <c r="X261" s="288"/>
      <c r="Y261" s="288"/>
      <c r="Z261" s="288"/>
      <c r="AA261" s="288"/>
      <c r="AB261" s="291">
        <f t="shared" si="34"/>
        <v>0</v>
      </c>
    </row>
    <row r="262" ht="14.25" customHeight="1">
      <c r="I262" s="251">
        <v>20.0</v>
      </c>
      <c r="J262" s="292">
        <v>0.3194444444444444</v>
      </c>
      <c r="K262" s="292">
        <v>0.5</v>
      </c>
      <c r="L262" s="292">
        <v>0.5416666666666666</v>
      </c>
      <c r="M262" s="292">
        <v>0.7083333333333334</v>
      </c>
      <c r="N262" s="253">
        <f t="shared" si="32"/>
        <v>0.3472222222</v>
      </c>
      <c r="P262" s="212">
        <v>17.0</v>
      </c>
      <c r="Q262" s="298">
        <v>0.3229166666666667</v>
      </c>
      <c r="R262" s="298">
        <v>0.5</v>
      </c>
      <c r="S262" s="298">
        <v>0.5416666666666666</v>
      </c>
      <c r="T262" s="298">
        <v>0.7083333333333334</v>
      </c>
      <c r="U262" s="216">
        <f t="shared" si="33"/>
        <v>0.34375</v>
      </c>
      <c r="W262" s="303">
        <v>16.0</v>
      </c>
      <c r="X262" s="288"/>
      <c r="Y262" s="288"/>
      <c r="Z262" s="288"/>
      <c r="AA262" s="288"/>
      <c r="AB262" s="291">
        <f t="shared" si="34"/>
        <v>0</v>
      </c>
    </row>
    <row r="263" ht="14.25" customHeight="1">
      <c r="B263" s="274" t="s">
        <v>0</v>
      </c>
      <c r="C263" s="307" t="s">
        <v>25</v>
      </c>
      <c r="D263" s="239"/>
      <c r="E263" s="239"/>
      <c r="F263" s="240"/>
      <c r="G263" s="308" t="s">
        <v>49</v>
      </c>
      <c r="I263" s="255">
        <v>22.0</v>
      </c>
      <c r="J263" s="304"/>
      <c r="K263" s="304"/>
      <c r="L263" s="304"/>
      <c r="M263" s="304"/>
      <c r="N263" s="253">
        <f t="shared" si="32"/>
        <v>0</v>
      </c>
      <c r="P263" s="212">
        <v>18.0</v>
      </c>
      <c r="Q263" s="298">
        <v>0.32430555555555557</v>
      </c>
      <c r="R263" s="298">
        <v>0.5</v>
      </c>
      <c r="S263" s="288">
        <v>0.5416666666666666</v>
      </c>
      <c r="T263" s="298">
        <v>0.7083333333333334</v>
      </c>
      <c r="U263" s="216">
        <f t="shared" si="33"/>
        <v>0.3423611111</v>
      </c>
      <c r="W263" s="303">
        <v>17.0</v>
      </c>
      <c r="X263" s="288"/>
      <c r="Y263" s="288"/>
      <c r="Z263" s="288"/>
      <c r="AA263" s="288"/>
      <c r="AB263" s="291">
        <f t="shared" si="34"/>
        <v>0</v>
      </c>
    </row>
    <row r="264" ht="14.25" customHeight="1">
      <c r="B264" s="244"/>
      <c r="C264" s="275" t="s">
        <v>6</v>
      </c>
      <c r="D264" s="240"/>
      <c r="E264" s="275" t="s">
        <v>7</v>
      </c>
      <c r="F264" s="240"/>
      <c r="G264" s="244"/>
      <c r="I264" s="255">
        <v>23.0</v>
      </c>
      <c r="J264" s="292">
        <v>0.3263888888888889</v>
      </c>
      <c r="K264" s="292">
        <v>0.5</v>
      </c>
      <c r="L264" s="292">
        <v>0.5416666666666666</v>
      </c>
      <c r="M264" s="292">
        <v>0.7083333333333334</v>
      </c>
      <c r="N264" s="253">
        <f t="shared" si="32"/>
        <v>0.3402777778</v>
      </c>
      <c r="P264" s="212">
        <v>19.0</v>
      </c>
      <c r="Q264" s="298">
        <v>0.3236111111111111</v>
      </c>
      <c r="R264" s="298">
        <v>0.5</v>
      </c>
      <c r="S264" s="298">
        <v>0.5416666666666666</v>
      </c>
      <c r="T264" s="298">
        <v>0.7083333333333334</v>
      </c>
      <c r="U264" s="216">
        <f t="shared" si="33"/>
        <v>0.3430555556</v>
      </c>
      <c r="W264" s="303">
        <v>18.0</v>
      </c>
      <c r="X264" s="288"/>
      <c r="Y264" s="288"/>
      <c r="Z264" s="288"/>
      <c r="AA264" s="288"/>
      <c r="AB264" s="291">
        <f t="shared" si="34"/>
        <v>0</v>
      </c>
    </row>
    <row r="265" ht="14.25" customHeight="1">
      <c r="B265" s="246"/>
      <c r="C265" s="283" t="s">
        <v>11</v>
      </c>
      <c r="D265" s="283" t="s">
        <v>12</v>
      </c>
      <c r="E265" s="283" t="s">
        <v>11</v>
      </c>
      <c r="F265" s="283" t="s">
        <v>12</v>
      </c>
      <c r="G265" s="246"/>
      <c r="I265" s="255">
        <v>24.0</v>
      </c>
      <c r="J265" s="292">
        <v>0.3125</v>
      </c>
      <c r="K265" s="292">
        <v>0.5</v>
      </c>
      <c r="L265" s="292">
        <v>0.5416666666666666</v>
      </c>
      <c r="M265" s="292">
        <v>0.7083333333333334</v>
      </c>
      <c r="N265" s="253">
        <f t="shared" si="32"/>
        <v>0.3541666667</v>
      </c>
      <c r="P265" s="212">
        <v>20.0</v>
      </c>
      <c r="Q265" s="297"/>
      <c r="R265" s="297"/>
      <c r="S265" s="297"/>
      <c r="T265" s="297"/>
      <c r="U265" s="216">
        <f t="shared" si="33"/>
        <v>0</v>
      </c>
      <c r="W265" s="303">
        <v>19.0</v>
      </c>
      <c r="X265" s="288"/>
      <c r="Y265" s="288"/>
      <c r="Z265" s="288"/>
      <c r="AA265" s="288"/>
      <c r="AB265" s="291">
        <f t="shared" si="34"/>
        <v>0</v>
      </c>
    </row>
    <row r="266" ht="14.25" customHeight="1">
      <c r="B266" s="251">
        <v>29.0</v>
      </c>
      <c r="C266" s="264">
        <v>0.3333333333333333</v>
      </c>
      <c r="D266" s="264">
        <v>0.5</v>
      </c>
      <c r="E266" s="264">
        <v>0.5416666666666666</v>
      </c>
      <c r="F266" s="264">
        <v>0.7083333333333334</v>
      </c>
      <c r="G266" s="265">
        <f t="shared" ref="G266:G267" si="35">sum(D266-C266)+F266-E266</f>
        <v>0.3333333333</v>
      </c>
      <c r="I266" s="255">
        <v>25.0</v>
      </c>
      <c r="J266" s="292">
        <v>0.3125</v>
      </c>
      <c r="K266" s="292">
        <v>0.5</v>
      </c>
      <c r="L266" s="292">
        <v>0.5416666666666666</v>
      </c>
      <c r="M266" s="292">
        <v>0.7083333333333334</v>
      </c>
      <c r="N266" s="253">
        <f t="shared" si="32"/>
        <v>0.3541666667</v>
      </c>
      <c r="P266" s="212">
        <v>21.0</v>
      </c>
      <c r="Q266" s="297"/>
      <c r="R266" s="297"/>
      <c r="S266" s="297"/>
      <c r="T266" s="297"/>
      <c r="U266" s="216">
        <f t="shared" si="33"/>
        <v>0</v>
      </c>
      <c r="W266" s="303">
        <v>20.0</v>
      </c>
      <c r="X266" s="288"/>
      <c r="Y266" s="288"/>
      <c r="Z266" s="288"/>
      <c r="AA266" s="288"/>
      <c r="AB266" s="291">
        <f t="shared" si="34"/>
        <v>0</v>
      </c>
    </row>
    <row r="267" ht="14.25" customHeight="1">
      <c r="B267" s="251">
        <v>30.0</v>
      </c>
      <c r="C267" s="264">
        <v>0.3333333333333333</v>
      </c>
      <c r="D267" s="267">
        <v>0.5</v>
      </c>
      <c r="E267" s="264">
        <v>0.5416666666666666</v>
      </c>
      <c r="F267" s="264">
        <v>0.7083333333333334</v>
      </c>
      <c r="G267" s="265">
        <f t="shared" si="35"/>
        <v>0.3333333333</v>
      </c>
      <c r="I267" s="255">
        <v>26.0</v>
      </c>
      <c r="J267" s="292">
        <v>0.3020833333333333</v>
      </c>
      <c r="K267" s="292">
        <v>0.5</v>
      </c>
      <c r="L267" s="292">
        <v>0.5416666666666666</v>
      </c>
      <c r="M267" s="292">
        <v>0.7083333333333334</v>
      </c>
      <c r="N267" s="253">
        <f t="shared" si="32"/>
        <v>0.3645833333</v>
      </c>
      <c r="P267" s="220">
        <v>22.0</v>
      </c>
      <c r="Q267" s="294"/>
      <c r="R267" s="293"/>
      <c r="S267" s="293"/>
      <c r="T267" s="293"/>
      <c r="U267" s="216">
        <f t="shared" si="33"/>
        <v>0</v>
      </c>
      <c r="W267" s="303">
        <v>21.0</v>
      </c>
      <c r="X267" s="288"/>
      <c r="Y267" s="288"/>
      <c r="Z267" s="288"/>
      <c r="AA267" s="288"/>
      <c r="AB267" s="291">
        <f t="shared" si="34"/>
        <v>0</v>
      </c>
    </row>
    <row r="268" ht="14.25" customHeight="1">
      <c r="B268" s="309" t="s">
        <v>17</v>
      </c>
      <c r="C268" s="239"/>
      <c r="D268" s="239"/>
      <c r="E268" s="239"/>
      <c r="F268" s="240"/>
      <c r="G268" s="310">
        <f>SUM(G266:G267)</f>
        <v>0.6666666667</v>
      </c>
      <c r="I268" s="255">
        <v>27.0</v>
      </c>
      <c r="J268" s="292">
        <v>0.3194444444444444</v>
      </c>
      <c r="K268" s="292">
        <v>0.5</v>
      </c>
      <c r="L268" s="292">
        <v>0.5416666666666666</v>
      </c>
      <c r="M268" s="292">
        <v>0.7083333333333334</v>
      </c>
      <c r="N268" s="253">
        <f t="shared" si="32"/>
        <v>0.3472222222</v>
      </c>
      <c r="P268" s="233">
        <v>23.0</v>
      </c>
      <c r="Q268" s="298">
        <v>0.32569444444444445</v>
      </c>
      <c r="R268" s="298">
        <v>0.5</v>
      </c>
      <c r="S268" s="298">
        <v>0.5416666666666666</v>
      </c>
      <c r="T268" s="298">
        <v>0.7083333333333334</v>
      </c>
      <c r="U268" s="216">
        <f t="shared" si="33"/>
        <v>0.3409722222</v>
      </c>
      <c r="W268" s="290">
        <v>22.0</v>
      </c>
      <c r="X268" s="288"/>
      <c r="Y268" s="288"/>
      <c r="Z268" s="288"/>
      <c r="AA268" s="288"/>
      <c r="AB268" s="291">
        <f t="shared" si="34"/>
        <v>0</v>
      </c>
      <c r="AF268" s="311"/>
      <c r="AG268" s="311"/>
      <c r="AH268" s="311"/>
      <c r="AI268" s="311"/>
    </row>
    <row r="269" ht="14.25" customHeight="1">
      <c r="I269" s="255">
        <v>28.0</v>
      </c>
      <c r="J269" s="252"/>
      <c r="K269" s="252"/>
      <c r="L269" s="252"/>
      <c r="M269" s="252"/>
      <c r="N269" s="253">
        <f t="shared" si="32"/>
        <v>0</v>
      </c>
      <c r="P269" s="233">
        <v>24.0</v>
      </c>
      <c r="Q269" s="298">
        <v>0.32569444444444445</v>
      </c>
      <c r="R269" s="298">
        <v>0.5013888888888889</v>
      </c>
      <c r="S269" s="288">
        <v>0.5416666666666666</v>
      </c>
      <c r="T269" s="298">
        <v>0.7083333333333334</v>
      </c>
      <c r="U269" s="216">
        <f t="shared" si="33"/>
        <v>0.3423611111</v>
      </c>
      <c r="W269" s="290">
        <v>23.0</v>
      </c>
      <c r="X269" s="288"/>
      <c r="Y269" s="288"/>
      <c r="Z269" s="288"/>
      <c r="AA269" s="288"/>
      <c r="AB269" s="291">
        <f t="shared" si="34"/>
        <v>0</v>
      </c>
      <c r="AF269" s="311"/>
      <c r="AG269" s="311"/>
      <c r="AH269" s="312"/>
      <c r="AI269" s="312"/>
    </row>
    <row r="270" ht="14.25" customHeight="1">
      <c r="I270" s="313" t="s">
        <v>17</v>
      </c>
      <c r="J270" s="239"/>
      <c r="K270" s="239"/>
      <c r="L270" s="239"/>
      <c r="M270" s="240"/>
      <c r="N270" s="314">
        <f>SUM(N247:N269)</f>
        <v>6.615972222</v>
      </c>
      <c r="P270" s="233">
        <v>25.0</v>
      </c>
      <c r="Q270" s="298">
        <v>0.32430555555555557</v>
      </c>
      <c r="R270" s="298">
        <v>0.5</v>
      </c>
      <c r="S270" s="298">
        <v>0.5416666666666666</v>
      </c>
      <c r="T270" s="298">
        <v>0.7083333333333334</v>
      </c>
      <c r="U270" s="216">
        <f t="shared" si="33"/>
        <v>0.3423611111</v>
      </c>
      <c r="W270" s="290">
        <v>24.0</v>
      </c>
      <c r="X270" s="288"/>
      <c r="Y270" s="288"/>
      <c r="Z270" s="288"/>
      <c r="AA270" s="288"/>
      <c r="AB270" s="291">
        <f t="shared" si="34"/>
        <v>0</v>
      </c>
      <c r="AF270" s="311"/>
      <c r="AG270" s="311"/>
      <c r="AH270" s="312"/>
      <c r="AI270" s="312"/>
    </row>
    <row r="271" ht="14.25" customHeight="1">
      <c r="B271" s="315" t="s">
        <v>22</v>
      </c>
      <c r="C271" s="4"/>
      <c r="D271" s="4"/>
      <c r="E271" s="5"/>
      <c r="F271" s="315" t="s">
        <v>23</v>
      </c>
      <c r="G271" s="5"/>
      <c r="P271" s="233">
        <v>26.0</v>
      </c>
      <c r="Q271" s="298">
        <v>0.3284722222222222</v>
      </c>
      <c r="R271" s="298">
        <v>0.5</v>
      </c>
      <c r="S271" s="298">
        <v>0.5416666666666666</v>
      </c>
      <c r="T271" s="298">
        <v>0.7083333333333334</v>
      </c>
      <c r="U271" s="216">
        <f t="shared" si="33"/>
        <v>0.3381944444</v>
      </c>
      <c r="W271" s="290">
        <v>25.0</v>
      </c>
      <c r="X271" s="288"/>
      <c r="Y271" s="288"/>
      <c r="Z271" s="288"/>
      <c r="AA271" s="288"/>
      <c r="AB271" s="291">
        <f t="shared" si="34"/>
        <v>0</v>
      </c>
      <c r="AF271" s="311"/>
      <c r="AG271" s="311"/>
      <c r="AH271" s="312"/>
      <c r="AI271" s="312"/>
    </row>
    <row r="272" ht="14.25" customHeight="1">
      <c r="B272" s="316" t="str">
        <f>TEXT(B59-A1,"[h] ""hrs"" mm ""mins""")</f>
        <v>106 hrs 15 mins</v>
      </c>
      <c r="E272" s="42"/>
      <c r="F272" s="317" t="str">
        <f>TEXT(A1/B59, "0.00%")</f>
        <v>78.14%</v>
      </c>
      <c r="G272" s="31"/>
      <c r="P272" s="233">
        <v>27.0</v>
      </c>
      <c r="Q272" s="298">
        <v>0.2965277777777778</v>
      </c>
      <c r="R272" s="298">
        <v>0.5</v>
      </c>
      <c r="S272" s="298">
        <v>0.5416666666666666</v>
      </c>
      <c r="T272" s="298">
        <v>0.7083333333333334</v>
      </c>
      <c r="U272" s="216">
        <f t="shared" si="33"/>
        <v>0.3701388889</v>
      </c>
      <c r="W272" s="290">
        <v>26.0</v>
      </c>
      <c r="X272" s="288"/>
      <c r="Y272" s="288"/>
      <c r="Z272" s="288"/>
      <c r="AA272" s="288"/>
      <c r="AB272" s="291">
        <f t="shared" si="34"/>
        <v>0</v>
      </c>
      <c r="AF272" s="311"/>
      <c r="AG272" s="311"/>
      <c r="AH272" s="312"/>
      <c r="AI272" s="312"/>
    </row>
    <row r="273" ht="14.25" customHeight="1">
      <c r="B273" s="41"/>
      <c r="E273" s="42"/>
      <c r="F273" s="41"/>
      <c r="G273" s="42"/>
      <c r="P273" s="233">
        <v>28.0</v>
      </c>
      <c r="Q273" s="294"/>
      <c r="R273" s="293"/>
      <c r="S273" s="293"/>
      <c r="T273" s="293"/>
      <c r="U273" s="216">
        <f t="shared" si="33"/>
        <v>0</v>
      </c>
      <c r="W273" s="290">
        <v>27.0</v>
      </c>
      <c r="X273" s="288"/>
      <c r="Y273" s="288"/>
      <c r="Z273" s="288"/>
      <c r="AA273" s="288"/>
      <c r="AB273" s="291">
        <f t="shared" si="34"/>
        <v>0</v>
      </c>
      <c r="AF273" s="311"/>
      <c r="AG273" s="311"/>
      <c r="AH273" s="312"/>
      <c r="AI273" s="312"/>
    </row>
    <row r="274" ht="14.25" customHeight="1">
      <c r="B274" s="33"/>
      <c r="C274" s="34"/>
      <c r="D274" s="34"/>
      <c r="E274" s="35"/>
      <c r="F274" s="33"/>
      <c r="G274" s="35"/>
      <c r="P274" s="233">
        <v>29.0</v>
      </c>
      <c r="Q274" s="294"/>
      <c r="R274" s="293"/>
      <c r="S274" s="293"/>
      <c r="T274" s="293"/>
      <c r="U274" s="216">
        <f t="shared" si="33"/>
        <v>0</v>
      </c>
      <c r="W274" s="290">
        <v>28.0</v>
      </c>
      <c r="X274" s="288"/>
      <c r="Y274" s="288"/>
      <c r="Z274" s="288"/>
      <c r="AA274" s="288"/>
      <c r="AB274" s="291">
        <f t="shared" si="34"/>
        <v>0</v>
      </c>
      <c r="AF274" s="311"/>
      <c r="AG274" s="311"/>
      <c r="AH274" s="312"/>
      <c r="AI274" s="312"/>
    </row>
    <row r="275" ht="14.25" customHeight="1">
      <c r="P275" s="233">
        <v>30.0</v>
      </c>
      <c r="Q275" s="298">
        <v>0.32916666666666666</v>
      </c>
      <c r="R275" s="298">
        <v>0.5</v>
      </c>
      <c r="S275" s="298">
        <v>0.5416666666666666</v>
      </c>
      <c r="T275" s="298">
        <v>0.7083333333333334</v>
      </c>
      <c r="U275" s="216">
        <f t="shared" si="33"/>
        <v>0.3375</v>
      </c>
      <c r="W275" s="290">
        <v>29.0</v>
      </c>
      <c r="X275" s="288"/>
      <c r="Y275" s="288"/>
      <c r="Z275" s="288"/>
      <c r="AA275" s="288"/>
      <c r="AB275" s="291">
        <f t="shared" si="34"/>
        <v>0</v>
      </c>
    </row>
    <row r="276" ht="14.25" customHeight="1">
      <c r="P276" s="233">
        <v>31.0</v>
      </c>
      <c r="Q276" s="298">
        <v>0.325</v>
      </c>
      <c r="R276" s="298">
        <v>0.5</v>
      </c>
      <c r="S276" s="298">
        <v>0.5416666666666666</v>
      </c>
      <c r="T276" s="298">
        <v>0.7083333333333334</v>
      </c>
      <c r="U276" s="216">
        <f t="shared" si="33"/>
        <v>0.3416666667</v>
      </c>
      <c r="W276" s="290">
        <v>30.0</v>
      </c>
      <c r="X276" s="288"/>
      <c r="Y276" s="288"/>
      <c r="Z276" s="288"/>
      <c r="AA276" s="288"/>
      <c r="AB276" s="291">
        <f t="shared" si="34"/>
        <v>0</v>
      </c>
    </row>
    <row r="277" ht="14.25" customHeight="1">
      <c r="P277" s="318" t="s">
        <v>17</v>
      </c>
      <c r="Q277" s="4"/>
      <c r="R277" s="4"/>
      <c r="S277" s="4"/>
      <c r="T277" s="5"/>
      <c r="U277" s="319">
        <f>SUM(U247:U276)</f>
        <v>6.915277778</v>
      </c>
      <c r="W277" s="320" t="s">
        <v>17</v>
      </c>
      <c r="X277" s="4"/>
      <c r="Y277" s="4"/>
      <c r="Z277" s="4"/>
      <c r="AA277" s="5"/>
      <c r="AB277" s="321">
        <f>SUM(AB247:AB276)</f>
        <v>1.884027778</v>
      </c>
    </row>
    <row r="278" ht="14.25" customHeight="1"/>
    <row r="279" ht="14.25" customHeight="1"/>
    <row r="280" ht="14.25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35"/>
      <c r="W280" s="235"/>
      <c r="X280" s="235"/>
      <c r="Y280" s="235"/>
      <c r="Z280" s="235"/>
      <c r="AA280" s="235"/>
      <c r="AB280" s="235"/>
      <c r="AC280" s="235"/>
      <c r="AD280" s="235"/>
      <c r="AE280" s="235"/>
      <c r="AF280" s="235"/>
      <c r="AG280" s="235"/>
      <c r="AH280" s="235"/>
      <c r="AI280" s="235"/>
      <c r="AJ280" s="235"/>
      <c r="AK280" s="235"/>
      <c r="AL280" s="235"/>
    </row>
    <row r="281" ht="14.25" customHeight="1">
      <c r="A281" s="1">
        <f>SUM(H302+O309+V316+AC316)</f>
        <v>17.03888889</v>
      </c>
    </row>
    <row r="282" ht="14.25" customHeight="1"/>
    <row r="283" ht="14.25" customHeight="1">
      <c r="J283" s="322" t="s">
        <v>0</v>
      </c>
      <c r="K283" s="323" t="s">
        <v>3</v>
      </c>
      <c r="L283" s="239"/>
      <c r="M283" s="239"/>
      <c r="N283" s="240"/>
      <c r="O283" s="322" t="s">
        <v>2</v>
      </c>
      <c r="Q283" s="324" t="s">
        <v>0</v>
      </c>
      <c r="R283" s="325" t="s">
        <v>4</v>
      </c>
      <c r="S283" s="4"/>
      <c r="T283" s="4"/>
      <c r="U283" s="5"/>
      <c r="V283" s="326" t="s">
        <v>2</v>
      </c>
      <c r="X283" s="327" t="s">
        <v>0</v>
      </c>
      <c r="Y283" s="328" t="s">
        <v>5</v>
      </c>
      <c r="Z283" s="4"/>
      <c r="AA283" s="4"/>
      <c r="AB283" s="5"/>
      <c r="AC283" s="327" t="s">
        <v>2</v>
      </c>
    </row>
    <row r="284" ht="14.25" customHeight="1">
      <c r="J284" s="244"/>
      <c r="K284" s="323" t="s">
        <v>6</v>
      </c>
      <c r="L284" s="240"/>
      <c r="M284" s="323" t="s">
        <v>7</v>
      </c>
      <c r="N284" s="240"/>
      <c r="O284" s="244"/>
      <c r="Q284" s="10"/>
      <c r="R284" s="325" t="s">
        <v>6</v>
      </c>
      <c r="S284" s="5"/>
      <c r="T284" s="325" t="s">
        <v>7</v>
      </c>
      <c r="U284" s="5"/>
      <c r="V284" s="10"/>
      <c r="X284" s="10"/>
      <c r="Y284" s="329" t="s">
        <v>6</v>
      </c>
      <c r="Z284" s="5"/>
      <c r="AA284" s="329" t="s">
        <v>7</v>
      </c>
      <c r="AB284" s="5"/>
      <c r="AC284" s="10"/>
    </row>
    <row r="285" ht="14.25" customHeight="1">
      <c r="J285" s="246"/>
      <c r="K285" s="330" t="s">
        <v>11</v>
      </c>
      <c r="L285" s="330" t="s">
        <v>12</v>
      </c>
      <c r="M285" s="330" t="s">
        <v>11</v>
      </c>
      <c r="N285" s="330" t="s">
        <v>12</v>
      </c>
      <c r="O285" s="246"/>
      <c r="Q285" s="13"/>
      <c r="R285" s="331" t="s">
        <v>11</v>
      </c>
      <c r="S285" s="331" t="s">
        <v>12</v>
      </c>
      <c r="T285" s="331" t="s">
        <v>11</v>
      </c>
      <c r="U285" s="331" t="s">
        <v>12</v>
      </c>
      <c r="V285" s="13"/>
      <c r="X285" s="13"/>
      <c r="Y285" s="332" t="s">
        <v>11</v>
      </c>
      <c r="Z285" s="332" t="s">
        <v>12</v>
      </c>
      <c r="AA285" s="332" t="s">
        <v>11</v>
      </c>
      <c r="AB285" s="332" t="s">
        <v>12</v>
      </c>
      <c r="AC285" s="13"/>
    </row>
    <row r="286" ht="14.25" customHeight="1">
      <c r="C286" s="333" t="s">
        <v>50</v>
      </c>
      <c r="J286" s="251">
        <v>2.0</v>
      </c>
      <c r="K286" s="334">
        <v>0.32569444444444445</v>
      </c>
      <c r="L286" s="334">
        <v>0.5</v>
      </c>
      <c r="M286" s="334">
        <v>0.5416666666666666</v>
      </c>
      <c r="N286" s="334">
        <v>0.7083333333333334</v>
      </c>
      <c r="O286" s="291">
        <f t="shared" ref="O286:O308" si="36">SUM(L286-K286)+(N286-M286)</f>
        <v>0.3409722222</v>
      </c>
      <c r="Q286" s="212">
        <v>2.0</v>
      </c>
      <c r="R286" s="213">
        <v>0.32569444444444445</v>
      </c>
      <c r="S286" s="213">
        <v>0.5020833333333333</v>
      </c>
      <c r="T286" s="335">
        <v>0.5416666666666666</v>
      </c>
      <c r="U286" s="213">
        <v>0.7111111111111111</v>
      </c>
      <c r="V286" s="291">
        <f t="shared" ref="V286:V315" si="37">SUM(S286-R286)+(U286-T286)</f>
        <v>0.3458333333</v>
      </c>
      <c r="X286" s="290">
        <v>1.0</v>
      </c>
      <c r="Y286" s="217">
        <v>0.2902777777777778</v>
      </c>
      <c r="Z286" s="217">
        <v>0.5</v>
      </c>
      <c r="AA286" s="217">
        <v>0.5416666666666666</v>
      </c>
      <c r="AB286" s="217">
        <v>0.7520833333333333</v>
      </c>
      <c r="AC286" s="291">
        <f t="shared" ref="AC286:AC315" si="38">SUM(Z286-Y286)+(AB286-AA286)</f>
        <v>0.4201388889</v>
      </c>
    </row>
    <row r="287" ht="14.25" customHeight="1">
      <c r="J287" s="251">
        <v>3.0</v>
      </c>
      <c r="K287" s="334">
        <v>0.3263888888888889</v>
      </c>
      <c r="L287" s="334">
        <v>0.5</v>
      </c>
      <c r="M287" s="334">
        <v>0.5416666666666666</v>
      </c>
      <c r="N287" s="334">
        <v>0.7083333333333334</v>
      </c>
      <c r="O287" s="291">
        <f t="shared" si="36"/>
        <v>0.3402777778</v>
      </c>
      <c r="Q287" s="212">
        <v>3.0</v>
      </c>
      <c r="R287" s="213">
        <v>0.32916666666666666</v>
      </c>
      <c r="S287" s="213">
        <v>0.5006944444444444</v>
      </c>
      <c r="T287" s="213">
        <v>0.5416666666666666</v>
      </c>
      <c r="U287" s="213">
        <v>0.7090277777777778</v>
      </c>
      <c r="V287" s="291">
        <f t="shared" si="37"/>
        <v>0.3388888889</v>
      </c>
      <c r="X287" s="290">
        <v>2.0</v>
      </c>
      <c r="Y287" s="218"/>
      <c r="Z287" s="218"/>
      <c r="AA287" s="218"/>
      <c r="AB287" s="219"/>
      <c r="AC287" s="291">
        <f t="shared" si="38"/>
        <v>0</v>
      </c>
    </row>
    <row r="288" ht="14.25" customHeight="1">
      <c r="C288" s="245" t="s">
        <v>42</v>
      </c>
      <c r="J288" s="251">
        <v>4.0</v>
      </c>
      <c r="K288" s="334">
        <v>0.3263888888888889</v>
      </c>
      <c r="L288" s="334">
        <v>0.5</v>
      </c>
      <c r="M288" s="334">
        <v>0.5416666666666666</v>
      </c>
      <c r="N288" s="334">
        <v>0.7083333333333334</v>
      </c>
      <c r="O288" s="291">
        <f t="shared" si="36"/>
        <v>0.3402777778</v>
      </c>
      <c r="Q288" s="212">
        <v>4.0</v>
      </c>
      <c r="R288" s="213"/>
      <c r="S288" s="214"/>
      <c r="T288" s="214"/>
      <c r="U288" s="214"/>
      <c r="V288" s="291">
        <f t="shared" si="37"/>
        <v>0</v>
      </c>
      <c r="X288" s="290">
        <v>3.0</v>
      </c>
      <c r="Y288" s="219"/>
      <c r="Z288" s="218"/>
      <c r="AA288" s="218"/>
      <c r="AB288" s="219"/>
      <c r="AC288" s="291">
        <f t="shared" si="38"/>
        <v>0</v>
      </c>
    </row>
    <row r="289" ht="14.25" customHeight="1">
      <c r="C289" s="336" t="str">
        <f>TEXT(SUM(H302,O309,V316,AC316),"[h]")&amp;" hrs"
</f>
        <v>408 hrs</v>
      </c>
      <c r="J289" s="251">
        <v>5.0</v>
      </c>
      <c r="K289" s="334">
        <v>0.3263888888888889</v>
      </c>
      <c r="L289" s="334">
        <v>0.5</v>
      </c>
      <c r="M289" s="334">
        <v>0.5416666666666666</v>
      </c>
      <c r="N289" s="334">
        <v>0.7083333333333334</v>
      </c>
      <c r="O289" s="291">
        <f t="shared" si="36"/>
        <v>0.3402777778</v>
      </c>
      <c r="Q289" s="212">
        <v>5.0</v>
      </c>
      <c r="R289" s="213">
        <v>0.32916666666666666</v>
      </c>
      <c r="S289" s="213">
        <v>0.5006944444444444</v>
      </c>
      <c r="T289" s="213">
        <v>0.5416666666666666</v>
      </c>
      <c r="U289" s="213">
        <v>0.7104166666666667</v>
      </c>
      <c r="V289" s="291">
        <f t="shared" si="37"/>
        <v>0.3402777778</v>
      </c>
      <c r="X289" s="290">
        <v>4.0</v>
      </c>
      <c r="Y289" s="219"/>
      <c r="Z289" s="218"/>
      <c r="AA289" s="218"/>
      <c r="AB289" s="219"/>
      <c r="AC289" s="291">
        <f t="shared" si="38"/>
        <v>0</v>
      </c>
    </row>
    <row r="290" ht="14.25" customHeight="1">
      <c r="J290" s="251">
        <v>6.0</v>
      </c>
      <c r="K290" s="334">
        <v>0.3263888888888889</v>
      </c>
      <c r="L290" s="334">
        <v>0.5</v>
      </c>
      <c r="M290" s="334">
        <v>0.5416666666666666</v>
      </c>
      <c r="N290" s="334">
        <v>0.7083333333333334</v>
      </c>
      <c r="O290" s="291">
        <f t="shared" si="36"/>
        <v>0.3402777778</v>
      </c>
      <c r="Q290" s="212">
        <v>6.0</v>
      </c>
      <c r="R290" s="219">
        <v>0.33194444444444443</v>
      </c>
      <c r="S290" s="219">
        <v>0.5</v>
      </c>
      <c r="T290" s="219">
        <v>0.5416666666666666</v>
      </c>
      <c r="U290" s="219">
        <v>0.7083333333333334</v>
      </c>
      <c r="V290" s="291">
        <f t="shared" si="37"/>
        <v>0.3347222222</v>
      </c>
      <c r="X290" s="290">
        <v>5.0</v>
      </c>
      <c r="Y290" s="217"/>
      <c r="Z290" s="217"/>
      <c r="AA290" s="217"/>
      <c r="AB290" s="217"/>
      <c r="AC290" s="291">
        <f t="shared" si="38"/>
        <v>0</v>
      </c>
    </row>
    <row r="291" ht="14.25" customHeight="1">
      <c r="J291" s="255">
        <v>9.0</v>
      </c>
      <c r="K291" s="334">
        <v>0.3298611111111111</v>
      </c>
      <c r="L291" s="334">
        <v>0.5</v>
      </c>
      <c r="M291" s="334">
        <v>0.5416666666666666</v>
      </c>
      <c r="N291" s="334">
        <v>0.7083333333333334</v>
      </c>
      <c r="O291" s="291">
        <f t="shared" si="36"/>
        <v>0.3368055556</v>
      </c>
      <c r="Q291" s="212">
        <v>7.0</v>
      </c>
      <c r="R291" s="221"/>
      <c r="S291" s="221"/>
      <c r="T291" s="221"/>
      <c r="U291" s="221"/>
      <c r="V291" s="291">
        <f t="shared" si="37"/>
        <v>0</v>
      </c>
      <c r="X291" s="290">
        <v>6.0</v>
      </c>
      <c r="Y291" s="219">
        <v>0.2881944444444444</v>
      </c>
      <c r="Z291" s="219">
        <v>0.5006944444444444</v>
      </c>
      <c r="AA291" s="219">
        <v>0.5416666666666666</v>
      </c>
      <c r="AB291" s="219">
        <v>0.7513888888888889</v>
      </c>
      <c r="AC291" s="291">
        <f t="shared" si="38"/>
        <v>0.4222222222</v>
      </c>
    </row>
    <row r="292" ht="14.25" customHeight="1">
      <c r="J292" s="251">
        <v>10.0</v>
      </c>
      <c r="K292" s="334">
        <v>0.3333333333333333</v>
      </c>
      <c r="L292" s="334">
        <v>0.5</v>
      </c>
      <c r="M292" s="334">
        <v>0.5416666666666666</v>
      </c>
      <c r="N292" s="334">
        <v>0.7083333333333334</v>
      </c>
      <c r="O292" s="291">
        <f t="shared" si="36"/>
        <v>0.3333333333</v>
      </c>
      <c r="Q292" s="212">
        <v>8.0</v>
      </c>
      <c r="R292" s="213"/>
      <c r="S292" s="213"/>
      <c r="T292" s="213"/>
      <c r="U292" s="213"/>
      <c r="V292" s="291">
        <f t="shared" si="37"/>
        <v>0</v>
      </c>
      <c r="X292" s="290">
        <v>7.0</v>
      </c>
      <c r="Y292" s="219">
        <v>0.28888888888888886</v>
      </c>
      <c r="Z292" s="219">
        <v>0.5</v>
      </c>
      <c r="AA292" s="219">
        <v>0.5416666666666666</v>
      </c>
      <c r="AB292" s="219">
        <v>0.7520833333333333</v>
      </c>
      <c r="AC292" s="291">
        <f t="shared" si="38"/>
        <v>0.4215277778</v>
      </c>
    </row>
    <row r="293" ht="14.25" customHeight="1">
      <c r="D293" s="337"/>
      <c r="J293" s="251">
        <v>11.0</v>
      </c>
      <c r="K293" s="334">
        <v>0.3263888888888889</v>
      </c>
      <c r="L293" s="334">
        <v>0.5</v>
      </c>
      <c r="M293" s="334">
        <v>0.5416666666666666</v>
      </c>
      <c r="N293" s="334">
        <v>0.7083333333333334</v>
      </c>
      <c r="O293" s="291">
        <f t="shared" si="36"/>
        <v>0.3402777778</v>
      </c>
      <c r="Q293" s="212">
        <v>9.0</v>
      </c>
      <c r="R293" s="213">
        <v>0.33125</v>
      </c>
      <c r="S293" s="213">
        <v>0.5013888888888889</v>
      </c>
      <c r="T293" s="213">
        <v>0.5416666666666666</v>
      </c>
      <c r="U293" s="213">
        <v>0.7104166666666667</v>
      </c>
      <c r="V293" s="291">
        <f t="shared" si="37"/>
        <v>0.3388888889</v>
      </c>
      <c r="X293" s="290">
        <v>8.0</v>
      </c>
      <c r="Y293" s="217">
        <v>0.2881944444444444</v>
      </c>
      <c r="Z293" s="217">
        <v>0.5</v>
      </c>
      <c r="AA293" s="217">
        <v>0.5416666666666666</v>
      </c>
      <c r="AB293" s="217">
        <v>0.7520833333333333</v>
      </c>
      <c r="AC293" s="291">
        <f t="shared" si="38"/>
        <v>0.4222222222</v>
      </c>
    </row>
    <row r="294" ht="14.25" customHeight="1">
      <c r="J294" s="251">
        <v>12.0</v>
      </c>
      <c r="K294" s="334">
        <v>0.3215277777777778</v>
      </c>
      <c r="L294" s="338">
        <v>0.5</v>
      </c>
      <c r="M294" s="334">
        <v>0.5416666666666666</v>
      </c>
      <c r="N294" s="334">
        <v>0.7083333333333334</v>
      </c>
      <c r="O294" s="291">
        <f t="shared" si="36"/>
        <v>0.3451388889</v>
      </c>
      <c r="Q294" s="212">
        <v>10.0</v>
      </c>
      <c r="R294" s="213">
        <v>0.32222222222222224</v>
      </c>
      <c r="S294" s="339">
        <v>0.5027777777777778</v>
      </c>
      <c r="T294" s="213">
        <v>0.5416666666666666</v>
      </c>
      <c r="U294" s="213">
        <v>0.7125</v>
      </c>
      <c r="V294" s="291">
        <f t="shared" si="37"/>
        <v>0.3513888889</v>
      </c>
      <c r="X294" s="290">
        <v>9.0</v>
      </c>
      <c r="Y294" s="217">
        <v>0.2881944444444444</v>
      </c>
      <c r="Z294" s="217">
        <v>0.5020833333333333</v>
      </c>
      <c r="AA294" s="217">
        <v>0.5416666666666666</v>
      </c>
      <c r="AB294" s="217">
        <v>0.7520833333333333</v>
      </c>
      <c r="AC294" s="291">
        <f t="shared" si="38"/>
        <v>0.4243055556</v>
      </c>
    </row>
    <row r="295" ht="14.25" customHeight="1">
      <c r="J295" s="251">
        <v>13.0</v>
      </c>
      <c r="K295" s="334">
        <v>0.32569444444444445</v>
      </c>
      <c r="L295" s="334">
        <v>0.5</v>
      </c>
      <c r="M295" s="334">
        <v>0.5416666666666666</v>
      </c>
      <c r="N295" s="334">
        <v>0.7083333333333334</v>
      </c>
      <c r="O295" s="291">
        <f t="shared" si="36"/>
        <v>0.3409722222</v>
      </c>
      <c r="Q295" s="212">
        <v>11.0</v>
      </c>
      <c r="R295" s="217">
        <v>0.3263888888888889</v>
      </c>
      <c r="S295" s="217">
        <v>0.5</v>
      </c>
      <c r="T295" s="217">
        <v>0.5416666666666666</v>
      </c>
      <c r="U295" s="217">
        <v>0.7111111111111111</v>
      </c>
      <c r="V295" s="291">
        <f t="shared" si="37"/>
        <v>0.3430555556</v>
      </c>
      <c r="X295" s="303">
        <v>10.0</v>
      </c>
      <c r="Y295" s="217">
        <v>0.29097222222222224</v>
      </c>
      <c r="Z295" s="217">
        <v>0.5020833333333333</v>
      </c>
      <c r="AA295" s="217">
        <v>0.5416666666666666</v>
      </c>
      <c r="AB295" s="217">
        <v>0.7104166666666667</v>
      </c>
      <c r="AC295" s="291">
        <f t="shared" si="38"/>
        <v>0.3798611111</v>
      </c>
    </row>
    <row r="296" ht="14.25" customHeight="1">
      <c r="J296" s="251">
        <v>14.0</v>
      </c>
      <c r="K296" s="340"/>
      <c r="L296" s="340"/>
      <c r="M296" s="340"/>
      <c r="N296" s="340"/>
      <c r="O296" s="291">
        <f t="shared" si="36"/>
        <v>0</v>
      </c>
      <c r="Q296" s="212">
        <v>12.0</v>
      </c>
      <c r="R296" s="219">
        <v>0.3263888888888889</v>
      </c>
      <c r="S296" s="219">
        <v>0.5006944444444444</v>
      </c>
      <c r="T296" s="213">
        <v>0.5416666666666666</v>
      </c>
      <c r="U296" s="213">
        <v>0.7097222222222223</v>
      </c>
      <c r="V296" s="291">
        <f t="shared" si="37"/>
        <v>0.3423611111</v>
      </c>
      <c r="X296" s="303">
        <v>11.0</v>
      </c>
      <c r="Y296" s="217"/>
      <c r="Z296" s="217"/>
      <c r="AA296" s="217"/>
      <c r="AB296" s="217"/>
      <c r="AC296" s="291">
        <f t="shared" si="38"/>
        <v>0</v>
      </c>
    </row>
    <row r="297" ht="14.25" customHeight="1">
      <c r="C297" s="322" t="s">
        <v>0</v>
      </c>
      <c r="D297" s="323" t="s">
        <v>1</v>
      </c>
      <c r="E297" s="239"/>
      <c r="F297" s="239"/>
      <c r="G297" s="240"/>
      <c r="H297" s="322" t="s">
        <v>2</v>
      </c>
      <c r="J297" s="251">
        <v>16.0</v>
      </c>
      <c r="K297" s="334">
        <v>0.32430555555555557</v>
      </c>
      <c r="L297" s="334">
        <v>0.5</v>
      </c>
      <c r="M297" s="334">
        <v>0.5416666666666666</v>
      </c>
      <c r="N297" s="334">
        <v>0.7083333333333334</v>
      </c>
      <c r="O297" s="291">
        <f t="shared" si="36"/>
        <v>0.3423611111</v>
      </c>
      <c r="Q297" s="212">
        <v>13.0</v>
      </c>
      <c r="R297" s="219">
        <v>0.3263888888888889</v>
      </c>
      <c r="S297" s="219">
        <v>0.5006944444444444</v>
      </c>
      <c r="T297" s="213">
        <v>0.5416666666666666</v>
      </c>
      <c r="U297" s="213">
        <v>0.7090277777777778</v>
      </c>
      <c r="V297" s="291">
        <f t="shared" si="37"/>
        <v>0.3416666667</v>
      </c>
      <c r="X297" s="303">
        <v>12.0</v>
      </c>
      <c r="Y297" s="217"/>
      <c r="Z297" s="217"/>
      <c r="AA297" s="217"/>
      <c r="AB297" s="217"/>
      <c r="AC297" s="291">
        <f t="shared" si="38"/>
        <v>0</v>
      </c>
    </row>
    <row r="298" ht="14.25" customHeight="1">
      <c r="C298" s="244"/>
      <c r="D298" s="323" t="s">
        <v>6</v>
      </c>
      <c r="E298" s="240"/>
      <c r="F298" s="323" t="s">
        <v>7</v>
      </c>
      <c r="G298" s="240"/>
      <c r="H298" s="244"/>
      <c r="J298" s="251">
        <v>17.0</v>
      </c>
      <c r="K298" s="334">
        <v>0.3298611111111111</v>
      </c>
      <c r="L298" s="334">
        <v>0.5</v>
      </c>
      <c r="M298" s="334">
        <v>0.5416666666666666</v>
      </c>
      <c r="N298" s="334">
        <v>0.7083333333333334</v>
      </c>
      <c r="O298" s="291">
        <f t="shared" si="36"/>
        <v>0.3368055556</v>
      </c>
      <c r="Q298" s="212">
        <v>14.0</v>
      </c>
      <c r="R298" s="221"/>
      <c r="S298" s="221"/>
      <c r="T298" s="221"/>
      <c r="U298" s="221"/>
      <c r="V298" s="291">
        <f t="shared" si="37"/>
        <v>0</v>
      </c>
      <c r="X298" s="303">
        <v>13.0</v>
      </c>
      <c r="Y298" s="217">
        <v>0.28888888888888886</v>
      </c>
      <c r="Z298" s="217">
        <v>0.5020833333333333</v>
      </c>
      <c r="AA298" s="217"/>
      <c r="AB298" s="217"/>
      <c r="AC298" s="291">
        <f t="shared" si="38"/>
        <v>0.2131944444</v>
      </c>
    </row>
    <row r="299" ht="14.25" customHeight="1">
      <c r="C299" s="246"/>
      <c r="D299" s="330" t="s">
        <v>11</v>
      </c>
      <c r="E299" s="330" t="s">
        <v>12</v>
      </c>
      <c r="F299" s="330" t="s">
        <v>11</v>
      </c>
      <c r="G299" s="330" t="s">
        <v>12</v>
      </c>
      <c r="H299" s="246"/>
      <c r="J299" s="251">
        <v>18.0</v>
      </c>
      <c r="K299" s="334">
        <v>0.32222222222222224</v>
      </c>
      <c r="L299" s="334">
        <v>0.5</v>
      </c>
      <c r="M299" s="334">
        <v>0.5416666666666666</v>
      </c>
      <c r="N299" s="334">
        <v>0.7083333333333334</v>
      </c>
      <c r="O299" s="291">
        <f t="shared" si="36"/>
        <v>0.3444444444</v>
      </c>
      <c r="Q299" s="212">
        <v>15.0</v>
      </c>
      <c r="R299" s="217"/>
      <c r="S299" s="218"/>
      <c r="T299" s="218"/>
      <c r="U299" s="218"/>
      <c r="V299" s="291">
        <f t="shared" si="37"/>
        <v>0</v>
      </c>
      <c r="X299" s="303">
        <v>14.0</v>
      </c>
      <c r="Y299" s="217"/>
      <c r="Z299" s="217"/>
      <c r="AA299" s="217"/>
      <c r="AB299" s="217"/>
      <c r="AC299" s="291">
        <f t="shared" si="38"/>
        <v>0</v>
      </c>
    </row>
    <row r="300" ht="14.25" customHeight="1">
      <c r="C300" s="251">
        <v>29.0</v>
      </c>
      <c r="D300" s="264">
        <v>0.3333333333333333</v>
      </c>
      <c r="E300" s="264">
        <v>0.5</v>
      </c>
      <c r="F300" s="264">
        <v>0.5416666666666666</v>
      </c>
      <c r="G300" s="264">
        <v>0.7083333333333334</v>
      </c>
      <c r="H300" s="291">
        <f t="shared" ref="H300:H301" si="39">SUM(E300-D300)+(G300-F300)</f>
        <v>0.3333333333</v>
      </c>
      <c r="J300" s="251">
        <v>19.0</v>
      </c>
      <c r="K300" s="334">
        <v>0.32708333333333334</v>
      </c>
      <c r="L300" s="334">
        <v>0.5</v>
      </c>
      <c r="M300" s="334">
        <v>0.5416666666666666</v>
      </c>
      <c r="N300" s="334">
        <v>0.7083333333333334</v>
      </c>
      <c r="O300" s="291">
        <f t="shared" si="36"/>
        <v>0.3395833333</v>
      </c>
      <c r="Q300" s="212">
        <v>16.0</v>
      </c>
      <c r="R300" s="341">
        <v>0.3277777777777778</v>
      </c>
      <c r="S300" s="219">
        <v>0.5006944444444444</v>
      </c>
      <c r="T300" s="342">
        <v>0.5416666666666666</v>
      </c>
      <c r="U300" s="342">
        <v>0.7097222222222223</v>
      </c>
      <c r="V300" s="291">
        <f t="shared" si="37"/>
        <v>0.3409722222</v>
      </c>
      <c r="X300" s="303">
        <v>15.0</v>
      </c>
      <c r="Y300" s="217"/>
      <c r="Z300" s="217"/>
      <c r="AA300" s="217"/>
      <c r="AB300" s="217"/>
      <c r="AC300" s="291">
        <f t="shared" si="38"/>
        <v>0</v>
      </c>
    </row>
    <row r="301" ht="14.25" customHeight="1">
      <c r="C301" s="251">
        <v>30.0</v>
      </c>
      <c r="D301" s="264">
        <v>0.31875</v>
      </c>
      <c r="E301" s="264">
        <v>0.5</v>
      </c>
      <c r="F301" s="264">
        <v>0.5416666666666666</v>
      </c>
      <c r="G301" s="264">
        <v>0.7083333333333334</v>
      </c>
      <c r="H301" s="291">
        <f t="shared" si="39"/>
        <v>0.3479166667</v>
      </c>
      <c r="J301" s="251">
        <v>20.0</v>
      </c>
      <c r="K301" s="334">
        <v>0.32569444444444445</v>
      </c>
      <c r="L301" s="334">
        <v>0.5</v>
      </c>
      <c r="M301" s="334">
        <v>0.5416666666666666</v>
      </c>
      <c r="N301" s="334">
        <v>0.7083333333333334</v>
      </c>
      <c r="O301" s="291">
        <f t="shared" si="36"/>
        <v>0.3409722222</v>
      </c>
      <c r="Q301" s="212">
        <v>17.0</v>
      </c>
      <c r="R301" s="342">
        <v>0.32569444444444445</v>
      </c>
      <c r="S301" s="342">
        <v>0.5013888888888889</v>
      </c>
      <c r="T301" s="342">
        <v>0.5416666666666666</v>
      </c>
      <c r="U301" s="342">
        <v>0.7097222222222223</v>
      </c>
      <c r="V301" s="291">
        <f t="shared" si="37"/>
        <v>0.34375</v>
      </c>
      <c r="X301" s="303">
        <v>16.0</v>
      </c>
      <c r="Y301" s="217"/>
      <c r="Z301" s="217"/>
      <c r="AA301" s="217"/>
      <c r="AB301" s="217"/>
      <c r="AC301" s="291">
        <f t="shared" si="38"/>
        <v>0</v>
      </c>
    </row>
    <row r="302" ht="14.25" customHeight="1">
      <c r="C302" s="269" t="s">
        <v>17</v>
      </c>
      <c r="D302" s="239"/>
      <c r="E302" s="239"/>
      <c r="F302" s="239"/>
      <c r="G302" s="240"/>
      <c r="H302" s="270">
        <f>SUM(H300:H301)</f>
        <v>0.68125</v>
      </c>
      <c r="J302" s="255">
        <v>22.0</v>
      </c>
      <c r="K302" s="256"/>
      <c r="L302" s="256"/>
      <c r="M302" s="256"/>
      <c r="N302" s="256"/>
      <c r="O302" s="291">
        <f t="shared" si="36"/>
        <v>0</v>
      </c>
      <c r="Q302" s="212">
        <v>18.0</v>
      </c>
      <c r="R302" s="342">
        <v>0.33055555555555555</v>
      </c>
      <c r="S302" s="342">
        <v>0.5006944444444444</v>
      </c>
      <c r="T302" s="342">
        <v>0.5416666666666666</v>
      </c>
      <c r="U302" s="342">
        <v>0.7104166666666667</v>
      </c>
      <c r="V302" s="291">
        <f t="shared" si="37"/>
        <v>0.3388888889</v>
      </c>
      <c r="X302" s="303">
        <v>17.0</v>
      </c>
      <c r="Y302" s="217"/>
      <c r="Z302" s="217"/>
      <c r="AA302" s="217"/>
      <c r="AB302" s="217"/>
      <c r="AC302" s="291">
        <f t="shared" si="38"/>
        <v>0</v>
      </c>
    </row>
    <row r="303" ht="14.25" customHeight="1">
      <c r="J303" s="255">
        <v>23.0</v>
      </c>
      <c r="K303" s="254">
        <v>0.3277777777777778</v>
      </c>
      <c r="L303" s="343">
        <v>0.5</v>
      </c>
      <c r="M303" s="254">
        <v>0.5416666666666666</v>
      </c>
      <c r="N303" s="254">
        <v>0.7083333333333334</v>
      </c>
      <c r="O303" s="291">
        <f t="shared" si="36"/>
        <v>0.3388888889</v>
      </c>
      <c r="Q303" s="212">
        <v>19.0</v>
      </c>
      <c r="R303" s="342">
        <v>0.3298611111111111</v>
      </c>
      <c r="S303" s="342">
        <v>0.5173611111111112</v>
      </c>
      <c r="T303" s="342">
        <v>0.5416666666666666</v>
      </c>
      <c r="U303" s="342">
        <v>0.7097222222222223</v>
      </c>
      <c r="V303" s="291">
        <f t="shared" si="37"/>
        <v>0.3555555556</v>
      </c>
      <c r="X303" s="303">
        <v>18.0</v>
      </c>
      <c r="Y303" s="217"/>
      <c r="Z303" s="217"/>
      <c r="AA303" s="217"/>
      <c r="AB303" s="217"/>
      <c r="AC303" s="291">
        <f t="shared" si="38"/>
        <v>0</v>
      </c>
    </row>
    <row r="304" ht="14.25" customHeight="1">
      <c r="J304" s="255">
        <v>24.0</v>
      </c>
      <c r="K304" s="254">
        <v>0.32708333333333334</v>
      </c>
      <c r="L304" s="254">
        <v>0.5</v>
      </c>
      <c r="M304" s="254">
        <v>0.5416666666666666</v>
      </c>
      <c r="N304" s="254">
        <v>0.7083333333333334</v>
      </c>
      <c r="O304" s="291">
        <f t="shared" si="36"/>
        <v>0.3395833333</v>
      </c>
      <c r="Q304" s="212">
        <v>20.0</v>
      </c>
      <c r="R304" s="221"/>
      <c r="S304" s="221"/>
      <c r="T304" s="221"/>
      <c r="U304" s="221"/>
      <c r="V304" s="291">
        <f t="shared" si="37"/>
        <v>0</v>
      </c>
      <c r="X304" s="303">
        <v>19.0</v>
      </c>
      <c r="Y304" s="217"/>
      <c r="Z304" s="217"/>
      <c r="AA304" s="217"/>
      <c r="AB304" s="217"/>
      <c r="AC304" s="291">
        <f t="shared" si="38"/>
        <v>0</v>
      </c>
    </row>
    <row r="305" ht="14.25" customHeight="1">
      <c r="D305" s="257" t="s">
        <v>51</v>
      </c>
      <c r="J305" s="255">
        <v>25.0</v>
      </c>
      <c r="K305" s="254">
        <v>0.3284722222222222</v>
      </c>
      <c r="L305" s="254">
        <v>0.5</v>
      </c>
      <c r="M305" s="254">
        <v>0.5416666666666666</v>
      </c>
      <c r="N305" s="254">
        <v>0.7083333333333334</v>
      </c>
      <c r="O305" s="291">
        <f t="shared" si="36"/>
        <v>0.3381944444</v>
      </c>
      <c r="Q305" s="212">
        <v>21.0</v>
      </c>
      <c r="R305" s="221"/>
      <c r="S305" s="221"/>
      <c r="T305" s="221"/>
      <c r="U305" s="221"/>
      <c r="V305" s="291">
        <f t="shared" si="37"/>
        <v>0</v>
      </c>
      <c r="X305" s="303">
        <v>20.0</v>
      </c>
      <c r="Y305" s="217"/>
      <c r="Z305" s="217"/>
      <c r="AA305" s="217"/>
      <c r="AB305" s="217"/>
      <c r="AC305" s="291">
        <f t="shared" si="38"/>
        <v>0</v>
      </c>
    </row>
    <row r="306" ht="14.25" customHeight="1">
      <c r="D306" s="344" t="str">
        <f>INT(((486/24)-SUM(H302+O309+V316+AC316))*24/8) &amp; " days"
</f>
        <v>9 days</v>
      </c>
      <c r="J306" s="255">
        <v>26.0</v>
      </c>
      <c r="K306" s="254">
        <v>0.325</v>
      </c>
      <c r="L306" s="254">
        <v>0.5</v>
      </c>
      <c r="M306" s="254">
        <v>0.5416666666666666</v>
      </c>
      <c r="N306" s="254">
        <v>0.7083333333333334</v>
      </c>
      <c r="O306" s="291">
        <f t="shared" si="36"/>
        <v>0.3416666667</v>
      </c>
      <c r="Q306" s="220">
        <v>22.0</v>
      </c>
      <c r="R306" s="219"/>
      <c r="S306" s="218"/>
      <c r="T306" s="218"/>
      <c r="U306" s="218"/>
      <c r="V306" s="291">
        <f t="shared" si="37"/>
        <v>0</v>
      </c>
      <c r="X306" s="303">
        <v>21.0</v>
      </c>
      <c r="Y306" s="217"/>
      <c r="Z306" s="217"/>
      <c r="AA306" s="217"/>
      <c r="AB306" s="217"/>
      <c r="AC306" s="291">
        <f t="shared" si="38"/>
        <v>0</v>
      </c>
    </row>
    <row r="307" ht="14.25" customHeight="1">
      <c r="J307" s="255">
        <v>27.0</v>
      </c>
      <c r="K307" s="254">
        <v>0.3215277777777778</v>
      </c>
      <c r="L307" s="254">
        <v>0.5</v>
      </c>
      <c r="M307" s="254">
        <v>0.5416666666666666</v>
      </c>
      <c r="N307" s="254">
        <v>0.7083333333333334</v>
      </c>
      <c r="O307" s="291">
        <f t="shared" si="36"/>
        <v>0.3451388889</v>
      </c>
      <c r="Q307" s="233">
        <v>23.0</v>
      </c>
      <c r="R307" s="342">
        <v>0.3263888888888889</v>
      </c>
      <c r="S307" s="342">
        <v>0.5013888888888889</v>
      </c>
      <c r="T307" s="342">
        <v>0.5416666666666666</v>
      </c>
      <c r="U307" s="342">
        <v>0.7097222222222223</v>
      </c>
      <c r="V307" s="291">
        <f t="shared" si="37"/>
        <v>0.3430555556</v>
      </c>
      <c r="X307" s="290">
        <v>22.0</v>
      </c>
      <c r="Y307" s="217"/>
      <c r="Z307" s="217"/>
      <c r="AA307" s="217"/>
      <c r="AB307" s="217"/>
      <c r="AC307" s="291">
        <f t="shared" si="38"/>
        <v>0</v>
      </c>
    </row>
    <row r="308" ht="14.25" customHeight="1">
      <c r="J308" s="255">
        <v>28.0</v>
      </c>
      <c r="K308" s="254"/>
      <c r="L308" s="252"/>
      <c r="M308" s="252"/>
      <c r="N308" s="252"/>
      <c r="O308" s="291">
        <f t="shared" si="36"/>
        <v>0</v>
      </c>
      <c r="Q308" s="233">
        <v>24.0</v>
      </c>
      <c r="R308" s="342">
        <v>0.32569444444444445</v>
      </c>
      <c r="S308" s="342">
        <v>0.5013888888888889</v>
      </c>
      <c r="T308" s="342">
        <v>0.5416666666666666</v>
      </c>
      <c r="U308" s="342">
        <v>0.7097222222222223</v>
      </c>
      <c r="V308" s="291">
        <f t="shared" si="37"/>
        <v>0.34375</v>
      </c>
      <c r="X308" s="290">
        <v>23.0</v>
      </c>
      <c r="Y308" s="217"/>
      <c r="Z308" s="217"/>
      <c r="AA308" s="217"/>
      <c r="AB308" s="217"/>
      <c r="AC308" s="291">
        <f t="shared" si="38"/>
        <v>0</v>
      </c>
    </row>
    <row r="309" ht="14.25" customHeight="1">
      <c r="J309" s="269" t="s">
        <v>17</v>
      </c>
      <c r="K309" s="239"/>
      <c r="L309" s="239"/>
      <c r="M309" s="239"/>
      <c r="N309" s="240"/>
      <c r="O309" s="272">
        <f>SUM(O286:O308)</f>
        <v>6.80625</v>
      </c>
      <c r="Q309" s="233">
        <v>25.0</v>
      </c>
      <c r="R309" s="342">
        <v>0.3263888888888889</v>
      </c>
      <c r="S309" s="342">
        <v>0.5006944444444444</v>
      </c>
      <c r="T309" s="342">
        <v>0.5416666666666666</v>
      </c>
      <c r="U309" s="342">
        <v>0.7097222222222223</v>
      </c>
      <c r="V309" s="291">
        <f t="shared" si="37"/>
        <v>0.3423611111</v>
      </c>
      <c r="X309" s="290">
        <v>24.0</v>
      </c>
      <c r="Y309" s="217"/>
      <c r="Z309" s="217"/>
      <c r="AA309" s="217"/>
      <c r="AB309" s="217"/>
      <c r="AC309" s="291">
        <f t="shared" si="38"/>
        <v>0</v>
      </c>
    </row>
    <row r="310" ht="14.25" customHeight="1">
      <c r="D310" s="260" t="s">
        <v>44</v>
      </c>
      <c r="E310" s="345" t="str">
        <f>TEXT(WORKDAY(WORKDAY(TODAY()-1, CEILING(((486/24)-SUM(H302+O309+V316+AC316))*24,8)/8)-1, 1), "MMMM DD")
</f>
        <v>April 24</v>
      </c>
      <c r="Q310" s="233">
        <v>26.0</v>
      </c>
      <c r="R310" s="342">
        <v>0.33194444444444443</v>
      </c>
      <c r="S310" s="342">
        <v>0.5020833333333333</v>
      </c>
      <c r="T310" s="342">
        <v>0.5416666666666666</v>
      </c>
      <c r="U310" s="342">
        <v>0.7111111111111111</v>
      </c>
      <c r="V310" s="291">
        <f t="shared" si="37"/>
        <v>0.3395833333</v>
      </c>
      <c r="X310" s="290">
        <v>25.0</v>
      </c>
      <c r="Y310" s="217"/>
      <c r="Z310" s="217"/>
      <c r="AA310" s="217"/>
      <c r="AB310" s="217"/>
      <c r="AC310" s="291">
        <f t="shared" si="38"/>
        <v>0</v>
      </c>
    </row>
    <row r="311" ht="14.25" customHeight="1">
      <c r="Q311" s="233">
        <v>27.0</v>
      </c>
      <c r="R311" s="342">
        <v>0.32916666666666666</v>
      </c>
      <c r="S311" s="342">
        <v>0.5013888888888889</v>
      </c>
      <c r="T311" s="342">
        <v>0.5416666666666666</v>
      </c>
      <c r="U311" s="342">
        <v>0.7097222222222223</v>
      </c>
      <c r="V311" s="291">
        <f t="shared" si="37"/>
        <v>0.3402777778</v>
      </c>
      <c r="X311" s="290">
        <v>26.0</v>
      </c>
      <c r="Y311" s="217"/>
      <c r="Z311" s="217"/>
      <c r="AA311" s="217"/>
      <c r="AB311" s="217"/>
      <c r="AC311" s="291">
        <f t="shared" si="38"/>
        <v>0</v>
      </c>
    </row>
    <row r="312" ht="14.25" customHeight="1">
      <c r="Q312" s="233">
        <v>28.0</v>
      </c>
      <c r="R312" s="219"/>
      <c r="S312" s="218"/>
      <c r="T312" s="218"/>
      <c r="U312" s="218"/>
      <c r="V312" s="291">
        <f t="shared" si="37"/>
        <v>0</v>
      </c>
      <c r="X312" s="290">
        <v>27.0</v>
      </c>
      <c r="Y312" s="217"/>
      <c r="Z312" s="217"/>
      <c r="AA312" s="217"/>
      <c r="AB312" s="217"/>
      <c r="AC312" s="291">
        <f t="shared" si="38"/>
        <v>0</v>
      </c>
    </row>
    <row r="313" ht="14.25" customHeight="1">
      <c r="C313" s="346" t="s">
        <v>22</v>
      </c>
      <c r="D313" s="4"/>
      <c r="E313" s="4"/>
      <c r="F313" s="5"/>
      <c r="G313" s="346" t="s">
        <v>23</v>
      </c>
      <c r="H313" s="5"/>
      <c r="Q313" s="233">
        <v>29.0</v>
      </c>
      <c r="R313" s="219"/>
      <c r="S313" s="218"/>
      <c r="T313" s="218"/>
      <c r="U313" s="218"/>
      <c r="V313" s="291">
        <f t="shared" si="37"/>
        <v>0</v>
      </c>
      <c r="X313" s="290">
        <v>28.0</v>
      </c>
      <c r="Y313" s="217"/>
      <c r="Z313" s="217"/>
      <c r="AA313" s="217"/>
      <c r="AB313" s="217"/>
      <c r="AC313" s="291">
        <f t="shared" si="38"/>
        <v>0</v>
      </c>
    </row>
    <row r="314" ht="14.25" customHeight="1">
      <c r="C314" s="347">
        <f>B59-A281</f>
        <v>3.211111111</v>
      </c>
      <c r="F314" s="42"/>
      <c r="G314" s="348" t="str">
        <f>TEXT(A281/B59, "0.00%")</f>
        <v>84.14%</v>
      </c>
      <c r="H314" s="31"/>
      <c r="Q314" s="233">
        <v>30.0</v>
      </c>
      <c r="R314" s="342">
        <v>0.33055555555555555</v>
      </c>
      <c r="S314" s="342">
        <v>0.5013888888888889</v>
      </c>
      <c r="T314" s="342">
        <v>0.5416666666666666</v>
      </c>
      <c r="U314" s="342">
        <v>0.7097222222222223</v>
      </c>
      <c r="V314" s="291">
        <f t="shared" si="37"/>
        <v>0.3388888889</v>
      </c>
      <c r="X314" s="290">
        <v>29.0</v>
      </c>
      <c r="Y314" s="217"/>
      <c r="Z314" s="217"/>
      <c r="AA314" s="217"/>
      <c r="AB314" s="217"/>
      <c r="AC314" s="291">
        <f t="shared" si="38"/>
        <v>0</v>
      </c>
    </row>
    <row r="315" ht="14.25" customHeight="1">
      <c r="C315" s="41"/>
      <c r="F315" s="42"/>
      <c r="G315" s="41"/>
      <c r="H315" s="42"/>
      <c r="Q315" s="233">
        <v>31.0</v>
      </c>
      <c r="R315" s="342">
        <v>0.325</v>
      </c>
      <c r="S315" s="342">
        <v>0.5</v>
      </c>
      <c r="T315" s="342">
        <v>0.5416666666666666</v>
      </c>
      <c r="U315" s="342">
        <v>0.7104166666666667</v>
      </c>
      <c r="V315" s="291">
        <f t="shared" si="37"/>
        <v>0.34375</v>
      </c>
      <c r="X315" s="290">
        <v>30.0</v>
      </c>
      <c r="Y315" s="217"/>
      <c r="Z315" s="217"/>
      <c r="AA315" s="217"/>
      <c r="AB315" s="217"/>
      <c r="AC315" s="291">
        <f t="shared" si="38"/>
        <v>0</v>
      </c>
    </row>
    <row r="316" ht="14.25" customHeight="1">
      <c r="C316" s="33"/>
      <c r="D316" s="34"/>
      <c r="E316" s="34"/>
      <c r="F316" s="35"/>
      <c r="G316" s="33"/>
      <c r="H316" s="35"/>
      <c r="Q316" s="228" t="s">
        <v>17</v>
      </c>
      <c r="R316" s="4"/>
      <c r="S316" s="4"/>
      <c r="T316" s="4"/>
      <c r="U316" s="5"/>
      <c r="V316" s="234">
        <f>SUM(V286:V315)</f>
        <v>6.847916667</v>
      </c>
      <c r="X316" s="349" t="s">
        <v>17</v>
      </c>
      <c r="Y316" s="4"/>
      <c r="Z316" s="4"/>
      <c r="AA316" s="4"/>
      <c r="AB316" s="5"/>
      <c r="AC316" s="350">
        <f>SUM(AC286:AC315)</f>
        <v>2.703472222</v>
      </c>
    </row>
    <row r="317" ht="14.25" customHeight="1"/>
    <row r="318" ht="14.25" customHeight="1"/>
    <row r="319" ht="14.25" customHeight="1"/>
    <row r="320" ht="14.25" customHeight="1"/>
    <row r="321" ht="14.25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35"/>
      <c r="W321" s="235"/>
      <c r="X321" s="235"/>
      <c r="Y321" s="235"/>
      <c r="Z321" s="235"/>
      <c r="AA321" s="235"/>
      <c r="AB321" s="235"/>
      <c r="AC321" s="235"/>
    </row>
    <row r="322" ht="14.25" customHeight="1">
      <c r="A322" s="1">
        <f>SUM(H344,O351,V358,AC358)</f>
        <v>16.18611111</v>
      </c>
    </row>
    <row r="323" ht="14.25" customHeight="1"/>
    <row r="324" ht="14.25" customHeight="1">
      <c r="J324" s="351" t="s">
        <v>0</v>
      </c>
      <c r="K324" s="352" t="s">
        <v>3</v>
      </c>
      <c r="L324" s="239"/>
      <c r="M324" s="239"/>
      <c r="N324" s="240"/>
      <c r="O324" s="351" t="s">
        <v>2</v>
      </c>
      <c r="Q324" s="353" t="s">
        <v>0</v>
      </c>
      <c r="R324" s="354" t="s">
        <v>4</v>
      </c>
      <c r="S324" s="4"/>
      <c r="T324" s="4"/>
      <c r="U324" s="5"/>
      <c r="V324" s="355" t="s">
        <v>2</v>
      </c>
      <c r="X324" s="356" t="s">
        <v>0</v>
      </c>
      <c r="Y324" s="357" t="s">
        <v>5</v>
      </c>
      <c r="Z324" s="4"/>
      <c r="AA324" s="4"/>
      <c r="AB324" s="5"/>
      <c r="AC324" s="356" t="s">
        <v>2</v>
      </c>
      <c r="AE324" s="358" t="s">
        <v>52</v>
      </c>
      <c r="AF324" s="359" t="s">
        <v>9</v>
      </c>
      <c r="AG324" s="359" t="s">
        <v>10</v>
      </c>
    </row>
    <row r="325" ht="14.25" customHeight="1">
      <c r="J325" s="244"/>
      <c r="K325" s="352" t="s">
        <v>6</v>
      </c>
      <c r="L325" s="240"/>
      <c r="M325" s="352" t="s">
        <v>7</v>
      </c>
      <c r="N325" s="240"/>
      <c r="O325" s="244"/>
      <c r="Q325" s="10"/>
      <c r="R325" s="354" t="s">
        <v>6</v>
      </c>
      <c r="S325" s="5"/>
      <c r="T325" s="354" t="s">
        <v>7</v>
      </c>
      <c r="U325" s="5"/>
      <c r="V325" s="10"/>
      <c r="X325" s="10"/>
      <c r="Y325" s="360" t="s">
        <v>6</v>
      </c>
      <c r="Z325" s="5"/>
      <c r="AA325" s="360" t="s">
        <v>7</v>
      </c>
      <c r="AB325" s="5"/>
      <c r="AC325" s="10"/>
      <c r="AE325" s="125" t="s">
        <v>13</v>
      </c>
      <c r="AF325" s="207" t="s">
        <v>14</v>
      </c>
      <c r="AG325" s="208">
        <f>sum(H341:H342)</f>
        <v>0.6888888889</v>
      </c>
    </row>
    <row r="326" ht="14.25" customHeight="1">
      <c r="J326" s="246"/>
      <c r="K326" s="361" t="s">
        <v>11</v>
      </c>
      <c r="L326" s="361" t="s">
        <v>12</v>
      </c>
      <c r="M326" s="361" t="s">
        <v>11</v>
      </c>
      <c r="N326" s="361" t="s">
        <v>12</v>
      </c>
      <c r="O326" s="246"/>
      <c r="Q326" s="13"/>
      <c r="R326" s="362" t="s">
        <v>11</v>
      </c>
      <c r="S326" s="362" t="s">
        <v>12</v>
      </c>
      <c r="T326" s="362" t="s">
        <v>11</v>
      </c>
      <c r="U326" s="362" t="s">
        <v>12</v>
      </c>
      <c r="V326" s="13"/>
      <c r="X326" s="13"/>
      <c r="Y326" s="363" t="s">
        <v>11</v>
      </c>
      <c r="Z326" s="363" t="s">
        <v>12</v>
      </c>
      <c r="AA326" s="363" t="s">
        <v>11</v>
      </c>
      <c r="AB326" s="363" t="s">
        <v>12</v>
      </c>
      <c r="AC326" s="13"/>
      <c r="AE326" s="125" t="s">
        <v>15</v>
      </c>
      <c r="AF326" s="211">
        <v>46037.0</v>
      </c>
      <c r="AG326" s="208">
        <f>sum(O327:O336)</f>
        <v>3.398611111</v>
      </c>
    </row>
    <row r="327" ht="14.25" customHeight="1">
      <c r="C327" s="364" t="s">
        <v>53</v>
      </c>
      <c r="J327" s="251">
        <v>2.0</v>
      </c>
      <c r="K327" s="252">
        <v>0.32569444444444445</v>
      </c>
      <c r="L327" s="252">
        <v>0.5</v>
      </c>
      <c r="M327" s="252">
        <v>0.5416666666666666</v>
      </c>
      <c r="N327" s="252">
        <v>0.7083333333333334</v>
      </c>
      <c r="O327" s="291">
        <f t="shared" ref="O327:O350" si="40">SUM(L327-K327)+(N327-M327)</f>
        <v>0.3409722222</v>
      </c>
      <c r="Q327" s="212">
        <v>2.0</v>
      </c>
      <c r="R327" s="213">
        <v>0.32569444444444445</v>
      </c>
      <c r="S327" s="214">
        <v>0.5</v>
      </c>
      <c r="T327" s="214">
        <v>0.5416666666715173</v>
      </c>
      <c r="U327" s="214">
        <v>0.7083333333333334</v>
      </c>
      <c r="V327" s="291">
        <f t="shared" ref="V327:V342" si="41">SUM(S327-R327)+(U327-T327)</f>
        <v>0.3409722222</v>
      </c>
      <c r="X327" s="290">
        <v>1.0</v>
      </c>
      <c r="Y327" s="217">
        <v>0.28541666666569654</v>
      </c>
      <c r="Z327" s="217">
        <v>0.5</v>
      </c>
      <c r="AA327" s="217"/>
      <c r="AB327" s="217"/>
      <c r="AC327" s="291">
        <f t="shared" ref="AC327:AC342" si="42">SUM(Z327-Y327)+(AB327-AA327)</f>
        <v>0.2145833333</v>
      </c>
      <c r="AE327" s="125" t="s">
        <v>15</v>
      </c>
      <c r="AF327" s="207" t="s">
        <v>16</v>
      </c>
      <c r="AG327" s="208">
        <f>sum(O338:O349)</f>
        <v>3.092361111</v>
      </c>
    </row>
    <row r="328" ht="14.25" customHeight="1">
      <c r="J328" s="251">
        <v>3.0</v>
      </c>
      <c r="K328" s="252">
        <v>0.3263888888888889</v>
      </c>
      <c r="L328" s="252">
        <v>0.5</v>
      </c>
      <c r="M328" s="252">
        <v>0.5416666666666666</v>
      </c>
      <c r="N328" s="252">
        <v>0.7083333333333334</v>
      </c>
      <c r="O328" s="291">
        <f t="shared" si="40"/>
        <v>0.3402777778</v>
      </c>
      <c r="Q328" s="212">
        <v>3.0</v>
      </c>
      <c r="R328" s="213">
        <v>0.32916666666278616</v>
      </c>
      <c r="S328" s="214">
        <v>0.5</v>
      </c>
      <c r="T328" s="214">
        <v>0.5416666666715173</v>
      </c>
      <c r="U328" s="214">
        <v>0.7083333333333334</v>
      </c>
      <c r="V328" s="291">
        <f t="shared" si="41"/>
        <v>0.3375</v>
      </c>
      <c r="X328" s="290">
        <v>2.0</v>
      </c>
      <c r="Y328" s="218"/>
      <c r="Z328" s="218"/>
      <c r="AA328" s="218"/>
      <c r="AB328" s="219"/>
      <c r="AC328" s="291">
        <f t="shared" si="42"/>
        <v>0</v>
      </c>
      <c r="AE328" s="125" t="s">
        <v>18</v>
      </c>
      <c r="AF328" s="211">
        <v>46037.0</v>
      </c>
      <c r="AG328" s="208">
        <f>sum(V327:V338)</f>
        <v>3.388194444</v>
      </c>
    </row>
    <row r="329" ht="14.25" customHeight="1">
      <c r="C329" s="245" t="s">
        <v>42</v>
      </c>
      <c r="J329" s="251">
        <v>4.0</v>
      </c>
      <c r="K329" s="252">
        <v>0.3263888888888889</v>
      </c>
      <c r="L329" s="252">
        <v>0.5</v>
      </c>
      <c r="M329" s="252">
        <v>0.5416666666666666</v>
      </c>
      <c r="N329" s="252">
        <v>0.7083333333333334</v>
      </c>
      <c r="O329" s="291">
        <f t="shared" si="40"/>
        <v>0.3402777778</v>
      </c>
      <c r="Q329" s="212">
        <v>4.0</v>
      </c>
      <c r="R329" s="213">
        <v>0.32986111110949423</v>
      </c>
      <c r="S329" s="214">
        <v>0.5</v>
      </c>
      <c r="T329" s="214">
        <v>0.5416666666715173</v>
      </c>
      <c r="U329" s="214">
        <v>0.7083333333333334</v>
      </c>
      <c r="V329" s="291">
        <f t="shared" si="41"/>
        <v>0.3368055556</v>
      </c>
      <c r="X329" s="290">
        <v>3.0</v>
      </c>
      <c r="Y329" s="219"/>
      <c r="Z329" s="218"/>
      <c r="AA329" s="218"/>
      <c r="AB329" s="219"/>
      <c r="AC329" s="291">
        <f t="shared" si="42"/>
        <v>0</v>
      </c>
      <c r="AE329" s="125" t="s">
        <v>18</v>
      </c>
      <c r="AF329" s="207" t="s">
        <v>19</v>
      </c>
      <c r="AG329" s="208">
        <f>sum(V341:V357)</f>
        <v>3.724305556</v>
      </c>
    </row>
    <row r="330" ht="14.25" customHeight="1">
      <c r="C330" s="365" t="str">
        <f>TEXT(SUM(H344,O351,V358,AC358),"[h]")&amp;" hrs"
</f>
        <v>388 hrs</v>
      </c>
      <c r="J330" s="251">
        <v>5.0</v>
      </c>
      <c r="K330" s="252">
        <v>0.3263888888888889</v>
      </c>
      <c r="L330" s="252">
        <v>0.5</v>
      </c>
      <c r="M330" s="252">
        <v>0.5416666666666666</v>
      </c>
      <c r="N330" s="252">
        <v>0.7083333333333334</v>
      </c>
      <c r="O330" s="291">
        <f t="shared" si="40"/>
        <v>0.3402777778</v>
      </c>
      <c r="Q330" s="212">
        <v>5.0</v>
      </c>
      <c r="R330" s="213">
        <v>0.32916666666278616</v>
      </c>
      <c r="S330" s="214">
        <v>0.5</v>
      </c>
      <c r="T330" s="214">
        <v>0.5416666666715173</v>
      </c>
      <c r="U330" s="214">
        <v>0.7083333333333334</v>
      </c>
      <c r="V330" s="291">
        <f t="shared" si="41"/>
        <v>0.3375</v>
      </c>
      <c r="X330" s="290">
        <v>4.0</v>
      </c>
      <c r="Y330" s="219"/>
      <c r="Z330" s="218"/>
      <c r="AA330" s="218"/>
      <c r="AB330" s="219"/>
      <c r="AC330" s="291">
        <f t="shared" si="42"/>
        <v>0</v>
      </c>
      <c r="AE330" s="125" t="s">
        <v>5</v>
      </c>
      <c r="AF330" s="211">
        <v>46037.0</v>
      </c>
      <c r="AG330" s="208">
        <f>sum(AC327:AC341)</f>
        <v>1.89375</v>
      </c>
    </row>
    <row r="331" ht="14.25" customHeight="1">
      <c r="J331" s="251">
        <v>6.0</v>
      </c>
      <c r="K331" s="252">
        <v>0.3263888888888889</v>
      </c>
      <c r="L331" s="252">
        <v>0.5</v>
      </c>
      <c r="M331" s="252">
        <v>0.5416666666666666</v>
      </c>
      <c r="N331" s="252">
        <v>0.7083333333333334</v>
      </c>
      <c r="O331" s="291">
        <f t="shared" si="40"/>
        <v>0.3402777778</v>
      </c>
      <c r="Q331" s="212">
        <v>6.0</v>
      </c>
      <c r="R331" s="219">
        <v>0.33194444444961846</v>
      </c>
      <c r="S331" s="214">
        <v>0.5</v>
      </c>
      <c r="T331" s="214">
        <v>0.5416666666715173</v>
      </c>
      <c r="U331" s="214">
        <v>0.7083333333333334</v>
      </c>
      <c r="V331" s="291">
        <f t="shared" si="41"/>
        <v>0.3347222222</v>
      </c>
      <c r="X331" s="290">
        <v>5.0</v>
      </c>
      <c r="Y331" s="217"/>
      <c r="Z331" s="217"/>
      <c r="AA331" s="217"/>
      <c r="AB331" s="217"/>
      <c r="AC331" s="291">
        <f t="shared" si="42"/>
        <v>0</v>
      </c>
      <c r="AE331" s="125" t="s">
        <v>5</v>
      </c>
      <c r="AF331" s="207" t="s">
        <v>21</v>
      </c>
      <c r="AG331" s="208">
        <f>sum(AC342:AC357)</f>
        <v>0</v>
      </c>
    </row>
    <row r="332" ht="14.25" customHeight="1">
      <c r="J332" s="255">
        <v>9.0</v>
      </c>
      <c r="K332" s="252">
        <v>0.3298611111111111</v>
      </c>
      <c r="L332" s="252">
        <v>0.5</v>
      </c>
      <c r="M332" s="252">
        <v>0.5416666666666666</v>
      </c>
      <c r="N332" s="252">
        <v>0.7083333333333334</v>
      </c>
      <c r="O332" s="291">
        <f t="shared" si="40"/>
        <v>0.3368055556</v>
      </c>
      <c r="Q332" s="212">
        <v>7.0</v>
      </c>
      <c r="R332" s="221"/>
      <c r="S332" s="214"/>
      <c r="T332" s="214"/>
      <c r="U332" s="214"/>
      <c r="V332" s="291">
        <f t="shared" si="41"/>
        <v>0</v>
      </c>
      <c r="X332" s="290">
        <v>6.0</v>
      </c>
      <c r="Y332" s="219">
        <v>0.2881944444452529</v>
      </c>
      <c r="Z332" s="219">
        <v>0.5</v>
      </c>
      <c r="AA332" s="219">
        <v>0.5416666666666666</v>
      </c>
      <c r="AB332" s="219">
        <v>0.75</v>
      </c>
      <c r="AC332" s="291">
        <f t="shared" si="42"/>
        <v>0.4201388889</v>
      </c>
      <c r="AE332" s="222"/>
      <c r="AF332" s="222"/>
      <c r="AG332" s="222"/>
    </row>
    <row r="333" ht="14.25" customHeight="1">
      <c r="J333" s="251">
        <v>10.0</v>
      </c>
      <c r="K333" s="252">
        <v>0.3333333333333333</v>
      </c>
      <c r="L333" s="252">
        <v>0.5</v>
      </c>
      <c r="M333" s="252">
        <v>0.5416666666666666</v>
      </c>
      <c r="N333" s="252">
        <v>0.7083333333333334</v>
      </c>
      <c r="O333" s="291">
        <f t="shared" si="40"/>
        <v>0.3333333333</v>
      </c>
      <c r="Q333" s="212">
        <v>8.0</v>
      </c>
      <c r="R333" s="213"/>
      <c r="S333" s="214"/>
      <c r="T333" s="214"/>
      <c r="U333" s="214"/>
      <c r="V333" s="291">
        <f t="shared" si="41"/>
        <v>0</v>
      </c>
      <c r="X333" s="290">
        <v>7.0</v>
      </c>
      <c r="Y333" s="219">
        <v>0.288888888884685</v>
      </c>
      <c r="Z333" s="219">
        <v>0.5</v>
      </c>
      <c r="AA333" s="219">
        <v>0.5416666666666666</v>
      </c>
      <c r="AB333" s="219">
        <v>0.75</v>
      </c>
      <c r="AC333" s="291">
        <f t="shared" si="42"/>
        <v>0.4194444444</v>
      </c>
      <c r="AE333" s="222"/>
      <c r="AF333" s="222"/>
      <c r="AG333" s="222"/>
    </row>
    <row r="334" ht="14.25" customHeight="1">
      <c r="D334" s="337"/>
      <c r="J334" s="251">
        <v>11.0</v>
      </c>
      <c r="K334" s="252">
        <v>0.3263888888888889</v>
      </c>
      <c r="L334" s="252">
        <v>0.5</v>
      </c>
      <c r="M334" s="252">
        <v>0.5416666666666666</v>
      </c>
      <c r="N334" s="252">
        <v>0.7083333333333334</v>
      </c>
      <c r="O334" s="291">
        <f t="shared" si="40"/>
        <v>0.3402777778</v>
      </c>
      <c r="Q334" s="212">
        <v>9.0</v>
      </c>
      <c r="R334" s="213">
        <v>0.3312500000029104</v>
      </c>
      <c r="S334" s="214">
        <v>0.5</v>
      </c>
      <c r="T334" s="214">
        <v>0.5416666666715173</v>
      </c>
      <c r="U334" s="214">
        <v>0.7083333333333334</v>
      </c>
      <c r="V334" s="291">
        <f t="shared" si="41"/>
        <v>0.3354166667</v>
      </c>
      <c r="X334" s="290">
        <v>8.0</v>
      </c>
      <c r="Y334" s="217">
        <v>0.2881944444452529</v>
      </c>
      <c r="Z334" s="217">
        <v>0.5</v>
      </c>
      <c r="AA334" s="217">
        <v>0.5416666666715173</v>
      </c>
      <c r="AB334" s="217">
        <v>0.75</v>
      </c>
      <c r="AC334" s="291">
        <f t="shared" si="42"/>
        <v>0.4201388889</v>
      </c>
      <c r="AE334" s="222"/>
      <c r="AF334" s="225" t="s">
        <v>17</v>
      </c>
      <c r="AG334" s="208">
        <f>sum(AG325:AG331)</f>
        <v>16.18611111</v>
      </c>
    </row>
    <row r="335" ht="14.25" customHeight="1">
      <c r="J335" s="251">
        <v>12.0</v>
      </c>
      <c r="K335" s="252">
        <v>0.3215277777777778</v>
      </c>
      <c r="L335" s="252">
        <v>0.5</v>
      </c>
      <c r="M335" s="252">
        <v>0.5416666666666666</v>
      </c>
      <c r="N335" s="252">
        <v>0.7083333333333334</v>
      </c>
      <c r="O335" s="291">
        <f t="shared" si="40"/>
        <v>0.3451388889</v>
      </c>
      <c r="Q335" s="212">
        <v>10.0</v>
      </c>
      <c r="R335" s="213">
        <v>0.32222222222480923</v>
      </c>
      <c r="S335" s="214">
        <v>0.5</v>
      </c>
      <c r="T335" s="214">
        <v>0.5416666666715173</v>
      </c>
      <c r="U335" s="214">
        <v>0.7083333333333334</v>
      </c>
      <c r="V335" s="291">
        <f t="shared" si="41"/>
        <v>0.3444444444</v>
      </c>
      <c r="X335" s="290">
        <v>9.0</v>
      </c>
      <c r="Y335" s="217"/>
      <c r="Z335" s="217"/>
      <c r="AA335" s="217"/>
      <c r="AB335" s="217"/>
      <c r="AC335" s="291">
        <f t="shared" si="42"/>
        <v>0</v>
      </c>
    </row>
    <row r="336" ht="14.25" customHeight="1">
      <c r="J336" s="251">
        <v>13.0</v>
      </c>
      <c r="K336" s="252">
        <v>0.32569444444444445</v>
      </c>
      <c r="L336" s="252">
        <v>0.5</v>
      </c>
      <c r="M336" s="252">
        <v>0.5416666666666666</v>
      </c>
      <c r="N336" s="252">
        <v>0.7083333333333334</v>
      </c>
      <c r="O336" s="291">
        <f t="shared" si="40"/>
        <v>0.3409722222</v>
      </c>
      <c r="Q336" s="212">
        <v>11.0</v>
      </c>
      <c r="R336" s="217">
        <v>0.32638888889050577</v>
      </c>
      <c r="S336" s="214">
        <v>0.5</v>
      </c>
      <c r="T336" s="214">
        <v>0.5416666666715173</v>
      </c>
      <c r="U336" s="214">
        <v>0.7083333333333334</v>
      </c>
      <c r="V336" s="291">
        <f t="shared" si="41"/>
        <v>0.3402777778</v>
      </c>
      <c r="X336" s="303">
        <v>10.0</v>
      </c>
      <c r="Y336" s="217"/>
      <c r="Z336" s="217"/>
      <c r="AA336" s="217"/>
      <c r="AB336" s="217"/>
      <c r="AC336" s="291">
        <f t="shared" si="42"/>
        <v>0</v>
      </c>
    </row>
    <row r="337" ht="14.25" customHeight="1">
      <c r="J337" s="251">
        <v>14.0</v>
      </c>
      <c r="K337" s="252"/>
      <c r="L337" s="252"/>
      <c r="M337" s="252"/>
      <c r="N337" s="252"/>
      <c r="O337" s="291">
        <f t="shared" si="40"/>
        <v>0</v>
      </c>
      <c r="Q337" s="212">
        <v>12.0</v>
      </c>
      <c r="R337" s="219">
        <v>0.32638888889050577</v>
      </c>
      <c r="S337" s="214">
        <v>0.5</v>
      </c>
      <c r="T337" s="214">
        <v>0.5416666666715173</v>
      </c>
      <c r="U337" s="214">
        <v>0.7083333333333334</v>
      </c>
      <c r="V337" s="291">
        <f t="shared" si="41"/>
        <v>0.3402777778</v>
      </c>
      <c r="X337" s="303">
        <v>11.0</v>
      </c>
      <c r="Y337" s="217"/>
      <c r="Z337" s="217"/>
      <c r="AA337" s="217"/>
      <c r="AB337" s="217"/>
      <c r="AC337" s="291">
        <f t="shared" si="42"/>
        <v>0</v>
      </c>
    </row>
    <row r="338" ht="14.25" customHeight="1">
      <c r="C338" s="351" t="s">
        <v>0</v>
      </c>
      <c r="D338" s="352" t="s">
        <v>1</v>
      </c>
      <c r="E338" s="239"/>
      <c r="F338" s="239"/>
      <c r="G338" s="240"/>
      <c r="H338" s="351" t="s">
        <v>2</v>
      </c>
      <c r="J338" s="251">
        <v>16.0</v>
      </c>
      <c r="K338" s="252">
        <v>0.32430555555555557</v>
      </c>
      <c r="L338" s="252">
        <v>0.5</v>
      </c>
      <c r="M338" s="252">
        <v>0.5416666666666666</v>
      </c>
      <c r="N338" s="252">
        <v>0.7083333333333334</v>
      </c>
      <c r="O338" s="291">
        <f t="shared" si="40"/>
        <v>0.3423611111</v>
      </c>
      <c r="Q338" s="212">
        <v>13.0</v>
      </c>
      <c r="R338" s="219">
        <v>0.32638888889050577</v>
      </c>
      <c r="S338" s="214">
        <v>0.5</v>
      </c>
      <c r="T338" s="214">
        <v>0.5416666666715173</v>
      </c>
      <c r="U338" s="214">
        <v>0.7083333333333334</v>
      </c>
      <c r="V338" s="291">
        <f t="shared" si="41"/>
        <v>0.3402777778</v>
      </c>
      <c r="X338" s="303">
        <v>12.0</v>
      </c>
      <c r="Y338" s="217"/>
      <c r="Z338" s="217"/>
      <c r="AA338" s="217"/>
      <c r="AB338" s="217"/>
      <c r="AC338" s="291">
        <f t="shared" si="42"/>
        <v>0</v>
      </c>
    </row>
    <row r="339" ht="14.25" customHeight="1">
      <c r="C339" s="244"/>
      <c r="D339" s="352" t="s">
        <v>6</v>
      </c>
      <c r="E339" s="240"/>
      <c r="F339" s="352" t="s">
        <v>7</v>
      </c>
      <c r="G339" s="240"/>
      <c r="H339" s="244"/>
      <c r="J339" s="251">
        <v>17.0</v>
      </c>
      <c r="K339" s="252"/>
      <c r="L339" s="252"/>
      <c r="M339" s="252"/>
      <c r="N339" s="252"/>
      <c r="O339" s="291">
        <f t="shared" si="40"/>
        <v>0</v>
      </c>
      <c r="Q339" s="212">
        <v>14.0</v>
      </c>
      <c r="R339" s="221"/>
      <c r="S339" s="214"/>
      <c r="T339" s="214"/>
      <c r="U339" s="214"/>
      <c r="V339" s="291">
        <f t="shared" si="41"/>
        <v>0</v>
      </c>
      <c r="X339" s="303">
        <v>13.0</v>
      </c>
      <c r="Y339" s="217">
        <v>0.288888888884685</v>
      </c>
      <c r="Z339" s="217">
        <v>0.5</v>
      </c>
      <c r="AA339" s="217">
        <v>0.5416666666715173</v>
      </c>
      <c r="AB339" s="217">
        <v>0.75</v>
      </c>
      <c r="AC339" s="291">
        <f t="shared" si="42"/>
        <v>0.4194444444</v>
      </c>
    </row>
    <row r="340" ht="14.25" customHeight="1">
      <c r="C340" s="246"/>
      <c r="D340" s="361" t="s">
        <v>11</v>
      </c>
      <c r="E340" s="361" t="s">
        <v>12</v>
      </c>
      <c r="F340" s="361" t="s">
        <v>11</v>
      </c>
      <c r="G340" s="361" t="s">
        <v>12</v>
      </c>
      <c r="H340" s="246"/>
      <c r="J340" s="251">
        <v>18.0</v>
      </c>
      <c r="K340" s="252">
        <v>0.32222222222222224</v>
      </c>
      <c r="L340" s="252">
        <v>0.5</v>
      </c>
      <c r="M340" s="252">
        <v>0.5416666666678793</v>
      </c>
      <c r="N340" s="252">
        <v>0.7083333333333334</v>
      </c>
      <c r="O340" s="291">
        <f t="shared" si="40"/>
        <v>0.3444444444</v>
      </c>
      <c r="Q340" s="212">
        <v>15.0</v>
      </c>
      <c r="R340" s="217"/>
      <c r="S340" s="214"/>
      <c r="T340" s="214"/>
      <c r="U340" s="214"/>
      <c r="V340" s="291">
        <f t="shared" si="41"/>
        <v>0</v>
      </c>
      <c r="X340" s="303">
        <v>14.0</v>
      </c>
      <c r="Y340" s="217"/>
      <c r="Z340" s="217"/>
      <c r="AA340" s="217"/>
      <c r="AB340" s="217"/>
      <c r="AC340" s="291">
        <f t="shared" si="42"/>
        <v>0</v>
      </c>
    </row>
    <row r="341" ht="14.25" customHeight="1">
      <c r="C341" s="251">
        <v>29.0</v>
      </c>
      <c r="D341" s="264">
        <v>0.3333333333333333</v>
      </c>
      <c r="E341" s="264">
        <v>0.5</v>
      </c>
      <c r="F341" s="264">
        <v>0.5416666666666666</v>
      </c>
      <c r="G341" s="264">
        <v>0.7083333333333334</v>
      </c>
      <c r="H341" s="366">
        <f>SUM(L327-K327)+(N327-M327)</f>
        <v>0.3409722222</v>
      </c>
      <c r="J341" s="251">
        <v>19.0</v>
      </c>
      <c r="K341" s="252">
        <v>0.325</v>
      </c>
      <c r="L341" s="252">
        <v>0.5</v>
      </c>
      <c r="M341" s="252">
        <v>0.5416666666666666</v>
      </c>
      <c r="N341" s="252">
        <v>0.7083333333333334</v>
      </c>
      <c r="O341" s="291">
        <f t="shared" si="40"/>
        <v>0.3416666667</v>
      </c>
      <c r="Q341" s="212">
        <v>16.0</v>
      </c>
      <c r="R341" s="217">
        <v>0.32777777777664596</v>
      </c>
      <c r="S341" s="214">
        <v>0.5</v>
      </c>
      <c r="T341" s="214">
        <v>0.5416666666715173</v>
      </c>
      <c r="U341" s="214">
        <v>0.7083333333333334</v>
      </c>
      <c r="V341" s="291">
        <f t="shared" si="41"/>
        <v>0.3388888889</v>
      </c>
      <c r="X341" s="303">
        <v>15.0</v>
      </c>
      <c r="Y341" s="217"/>
      <c r="Z341" s="217"/>
      <c r="AA341" s="217"/>
      <c r="AB341" s="217"/>
      <c r="AC341" s="291">
        <f t="shared" si="42"/>
        <v>0</v>
      </c>
    </row>
    <row r="342" ht="14.25" customHeight="1">
      <c r="C342" s="251">
        <v>30.0</v>
      </c>
      <c r="D342" s="264">
        <v>0.31875</v>
      </c>
      <c r="E342" s="264">
        <v>0.5</v>
      </c>
      <c r="F342" s="264">
        <v>0.5416666666666666</v>
      </c>
      <c r="G342" s="264">
        <v>0.7083333333333334</v>
      </c>
      <c r="H342" s="366">
        <f>SUM(E342-D342)+(G342-F342)</f>
        <v>0.3479166667</v>
      </c>
      <c r="J342" s="251">
        <v>20.0</v>
      </c>
      <c r="K342" s="252"/>
      <c r="L342" s="252"/>
      <c r="M342" s="252">
        <v>0.5416666666666666</v>
      </c>
      <c r="N342" s="252">
        <v>0.7083333333333334</v>
      </c>
      <c r="O342" s="291">
        <f t="shared" si="40"/>
        <v>0.1666666667</v>
      </c>
      <c r="Q342" s="212">
        <v>17.0</v>
      </c>
      <c r="R342" s="217">
        <v>0.3256944444437977</v>
      </c>
      <c r="S342" s="214">
        <v>0.5</v>
      </c>
      <c r="T342" s="214">
        <v>0.5416666666715173</v>
      </c>
      <c r="U342" s="214">
        <v>0.7083333333333334</v>
      </c>
      <c r="V342" s="291">
        <f t="shared" si="41"/>
        <v>0.3409722222</v>
      </c>
      <c r="X342" s="303">
        <v>16.0</v>
      </c>
      <c r="Y342" s="217"/>
      <c r="Z342" s="217"/>
      <c r="AA342" s="217"/>
      <c r="AB342" s="217"/>
      <c r="AC342" s="291">
        <f t="shared" si="42"/>
        <v>0</v>
      </c>
    </row>
    <row r="343" ht="14.25" customHeight="1">
      <c r="C343" s="251"/>
      <c r="D343" s="264"/>
      <c r="E343" s="264"/>
      <c r="F343" s="264"/>
      <c r="G343" s="264"/>
      <c r="H343" s="366"/>
      <c r="J343" s="251">
        <v>21.0</v>
      </c>
      <c r="K343" s="252">
        <v>0.3298611111111111</v>
      </c>
      <c r="L343" s="252">
        <v>0.5034722222222222</v>
      </c>
      <c r="M343" s="252">
        <v>0.5416666666666666</v>
      </c>
      <c r="N343" s="252">
        <v>0.7083333333333334</v>
      </c>
      <c r="O343" s="291">
        <f t="shared" si="40"/>
        <v>0.3402777778</v>
      </c>
      <c r="Q343" s="212"/>
      <c r="R343" s="217"/>
      <c r="S343" s="214"/>
      <c r="T343" s="367"/>
      <c r="U343" s="214"/>
      <c r="V343" s="291"/>
      <c r="X343" s="303"/>
      <c r="Y343" s="217"/>
      <c r="Z343" s="217"/>
      <c r="AA343" s="217"/>
      <c r="AB343" s="217"/>
      <c r="AC343" s="291"/>
    </row>
    <row r="344" ht="14.25" customHeight="1">
      <c r="C344" s="269" t="s">
        <v>17</v>
      </c>
      <c r="D344" s="239"/>
      <c r="E344" s="239"/>
      <c r="F344" s="239"/>
      <c r="G344" s="240"/>
      <c r="H344" s="270">
        <f>SUM(H341:H342)</f>
        <v>0.6888888889</v>
      </c>
      <c r="J344" s="255">
        <v>22.0</v>
      </c>
      <c r="K344" s="252"/>
      <c r="L344" s="252"/>
      <c r="M344" s="252"/>
      <c r="N344" s="252"/>
      <c r="O344" s="291">
        <f t="shared" si="40"/>
        <v>0</v>
      </c>
      <c r="Q344" s="212">
        <v>18.0</v>
      </c>
      <c r="R344" s="213">
        <v>0.3305555555562023</v>
      </c>
      <c r="S344" s="214">
        <v>0.5</v>
      </c>
      <c r="T344" s="214">
        <v>0.5416666666715173</v>
      </c>
      <c r="U344" s="214">
        <v>0.7083333333333334</v>
      </c>
      <c r="V344" s="291">
        <f t="shared" ref="V344:V357" si="43">SUM(S344-R344)+(U344-T344)</f>
        <v>0.3361111111</v>
      </c>
      <c r="X344" s="303">
        <v>17.0</v>
      </c>
      <c r="Y344" s="217"/>
      <c r="Z344" s="217"/>
      <c r="AA344" s="217"/>
      <c r="AB344" s="217"/>
      <c r="AC344" s="291">
        <f t="shared" ref="AC344:AC357" si="44">SUM(Z344-Y344)+(AB344-AA344)</f>
        <v>0</v>
      </c>
    </row>
    <row r="345" ht="14.25" customHeight="1">
      <c r="J345" s="255">
        <v>23.0</v>
      </c>
      <c r="K345" s="252">
        <v>0.3277777777777778</v>
      </c>
      <c r="L345" s="252">
        <v>0.5</v>
      </c>
      <c r="M345" s="252">
        <v>0.5416666666666666</v>
      </c>
      <c r="N345" s="252">
        <v>0.7083333333333334</v>
      </c>
      <c r="O345" s="291">
        <f t="shared" si="40"/>
        <v>0.3388888889</v>
      </c>
      <c r="Q345" s="212">
        <v>19.0</v>
      </c>
      <c r="R345" s="217">
        <v>0.32986111110949423</v>
      </c>
      <c r="S345" s="214">
        <v>0.5</v>
      </c>
      <c r="T345" s="214">
        <v>0.5416666666715173</v>
      </c>
      <c r="U345" s="214">
        <v>0.7083333333333334</v>
      </c>
      <c r="V345" s="291">
        <f t="shared" si="43"/>
        <v>0.3368055556</v>
      </c>
      <c r="X345" s="303">
        <v>18.0</v>
      </c>
      <c r="Y345" s="217"/>
      <c r="Z345" s="217"/>
      <c r="AA345" s="217"/>
      <c r="AB345" s="217"/>
      <c r="AC345" s="291">
        <f t="shared" si="44"/>
        <v>0</v>
      </c>
    </row>
    <row r="346" ht="14.25" customHeight="1">
      <c r="D346" s="257" t="s">
        <v>54</v>
      </c>
      <c r="J346" s="255">
        <v>24.0</v>
      </c>
      <c r="K346" s="252">
        <v>0.32708333333333334</v>
      </c>
      <c r="L346" s="252">
        <v>0.5</v>
      </c>
      <c r="M346" s="252">
        <v>0.5381944444444444</v>
      </c>
      <c r="N346" s="252">
        <v>0.7083333333333334</v>
      </c>
      <c r="O346" s="291">
        <f t="shared" si="40"/>
        <v>0.3430555556</v>
      </c>
      <c r="Q346" s="212">
        <v>20.0</v>
      </c>
      <c r="R346" s="221"/>
      <c r="S346" s="214"/>
      <c r="T346" s="214"/>
      <c r="U346" s="214"/>
      <c r="V346" s="291">
        <f t="shared" si="43"/>
        <v>0</v>
      </c>
      <c r="X346" s="303">
        <v>19.0</v>
      </c>
      <c r="Y346" s="217"/>
      <c r="Z346" s="217"/>
      <c r="AA346" s="217"/>
      <c r="AB346" s="217"/>
      <c r="AC346" s="291">
        <f t="shared" si="44"/>
        <v>0</v>
      </c>
    </row>
    <row r="347" ht="14.25" customHeight="1">
      <c r="D347" s="368" t="str">
        <f>INT(((486/24)-SUM(H344+O351+V358+AC358))*24/8) &amp; " days"
</f>
        <v>12 days</v>
      </c>
      <c r="J347" s="255">
        <v>25.0</v>
      </c>
      <c r="K347" s="252">
        <v>0.3284722222222222</v>
      </c>
      <c r="L347" s="252">
        <v>0.5</v>
      </c>
      <c r="M347" s="252">
        <v>0.5284722222222222</v>
      </c>
      <c r="N347" s="252">
        <v>0.7083333333333334</v>
      </c>
      <c r="O347" s="291">
        <f t="shared" si="40"/>
        <v>0.3513888889</v>
      </c>
      <c r="Q347" s="212">
        <v>21.0</v>
      </c>
      <c r="R347" s="221"/>
      <c r="S347" s="214"/>
      <c r="T347" s="214"/>
      <c r="U347" s="214"/>
      <c r="V347" s="291">
        <f t="shared" si="43"/>
        <v>0</v>
      </c>
      <c r="X347" s="303">
        <v>20.0</v>
      </c>
      <c r="Y347" s="217"/>
      <c r="Z347" s="217"/>
      <c r="AA347" s="217"/>
      <c r="AB347" s="217"/>
      <c r="AC347" s="291">
        <f t="shared" si="44"/>
        <v>0</v>
      </c>
    </row>
    <row r="348" ht="14.25" customHeight="1">
      <c r="J348" s="255">
        <v>26.0</v>
      </c>
      <c r="K348" s="252">
        <v>0.325</v>
      </c>
      <c r="L348" s="252">
        <v>0.5</v>
      </c>
      <c r="M348" s="252">
        <v>0.5381944444444444</v>
      </c>
      <c r="N348" s="252">
        <v>0.7083333333333334</v>
      </c>
      <c r="O348" s="291">
        <f t="shared" si="40"/>
        <v>0.3451388889</v>
      </c>
      <c r="Q348" s="220">
        <v>22.0</v>
      </c>
      <c r="R348" s="219"/>
      <c r="S348" s="214"/>
      <c r="T348" s="214"/>
      <c r="U348" s="214"/>
      <c r="V348" s="291">
        <f t="shared" si="43"/>
        <v>0</v>
      </c>
      <c r="X348" s="303">
        <v>21.0</v>
      </c>
      <c r="Y348" s="217"/>
      <c r="Z348" s="217"/>
      <c r="AA348" s="217"/>
      <c r="AB348" s="217"/>
      <c r="AC348" s="291">
        <f t="shared" si="44"/>
        <v>0</v>
      </c>
    </row>
    <row r="349" ht="14.25" customHeight="1">
      <c r="J349" s="255">
        <v>27.0</v>
      </c>
      <c r="K349" s="252">
        <v>0.3215277777777778</v>
      </c>
      <c r="L349" s="252">
        <v>0.5</v>
      </c>
      <c r="M349" s="252"/>
      <c r="N349" s="252"/>
      <c r="O349" s="291">
        <f t="shared" si="40"/>
        <v>0.1784722222</v>
      </c>
      <c r="Q349" s="233">
        <v>23.0</v>
      </c>
      <c r="R349" s="219">
        <v>0.32638888889050577</v>
      </c>
      <c r="S349" s="214">
        <v>0.5</v>
      </c>
      <c r="T349" s="214">
        <v>0.5416666666715173</v>
      </c>
      <c r="U349" s="214">
        <v>0.7083333333333334</v>
      </c>
      <c r="V349" s="291">
        <f t="shared" si="43"/>
        <v>0.3402777778</v>
      </c>
      <c r="X349" s="290">
        <v>22.0</v>
      </c>
      <c r="Y349" s="217"/>
      <c r="Z349" s="217"/>
      <c r="AA349" s="217"/>
      <c r="AB349" s="217"/>
      <c r="AC349" s="291">
        <f t="shared" si="44"/>
        <v>0</v>
      </c>
    </row>
    <row r="350" ht="14.25" customHeight="1">
      <c r="J350" s="255">
        <v>28.0</v>
      </c>
      <c r="K350" s="252"/>
      <c r="L350" s="252"/>
      <c r="M350" s="252"/>
      <c r="N350" s="252"/>
      <c r="O350" s="291">
        <f t="shared" si="40"/>
        <v>0</v>
      </c>
      <c r="Q350" s="233">
        <v>24.0</v>
      </c>
      <c r="R350" s="219">
        <v>0.3256944444437977</v>
      </c>
      <c r="S350" s="214">
        <v>0.5</v>
      </c>
      <c r="T350" s="214">
        <v>0.5416666666715173</v>
      </c>
      <c r="U350" s="214">
        <v>0.7083333333333334</v>
      </c>
      <c r="V350" s="291">
        <f t="shared" si="43"/>
        <v>0.3409722222</v>
      </c>
      <c r="X350" s="290">
        <v>23.0</v>
      </c>
      <c r="Y350" s="217"/>
      <c r="Z350" s="217"/>
      <c r="AA350" s="217"/>
      <c r="AB350" s="217"/>
      <c r="AC350" s="291">
        <f t="shared" si="44"/>
        <v>0</v>
      </c>
    </row>
    <row r="351" ht="14.25" customHeight="1">
      <c r="D351" s="260" t="s">
        <v>44</v>
      </c>
      <c r="E351" s="369" t="str">
        <f>TEXT(WORKDAY(WORKDAY(TODAY()-1, CEILING(((486/24)-SUM(H344+O351+V358+AC358))*24,8)/8)-1, 1), "MMMM DD")
</f>
        <v>April 29</v>
      </c>
      <c r="J351" s="269" t="s">
        <v>17</v>
      </c>
      <c r="K351" s="239"/>
      <c r="L351" s="239"/>
      <c r="M351" s="239"/>
      <c r="N351" s="240"/>
      <c r="O351" s="272">
        <f>SUM(O327:O350)</f>
        <v>6.490972222</v>
      </c>
      <c r="Q351" s="233">
        <v>25.0</v>
      </c>
      <c r="R351" s="219">
        <v>0.32638888889050577</v>
      </c>
      <c r="S351" s="214">
        <v>0.5</v>
      </c>
      <c r="T351" s="214">
        <v>0.5416666666715173</v>
      </c>
      <c r="U351" s="214">
        <v>0.7083333333333334</v>
      </c>
      <c r="V351" s="291">
        <f t="shared" si="43"/>
        <v>0.3402777778</v>
      </c>
      <c r="X351" s="290">
        <v>24.0</v>
      </c>
      <c r="Y351" s="217"/>
      <c r="Z351" s="217"/>
      <c r="AA351" s="217"/>
      <c r="AB351" s="217"/>
      <c r="AC351" s="291">
        <f t="shared" si="44"/>
        <v>0</v>
      </c>
    </row>
    <row r="352" ht="14.25" customHeight="1">
      <c r="Q352" s="233">
        <v>26.0</v>
      </c>
      <c r="R352" s="217">
        <v>0.33194444444961846</v>
      </c>
      <c r="S352" s="214">
        <v>0.5</v>
      </c>
      <c r="T352" s="214">
        <v>0.5416666666715173</v>
      </c>
      <c r="U352" s="214">
        <v>0.7083333333333334</v>
      </c>
      <c r="V352" s="291">
        <f t="shared" si="43"/>
        <v>0.3347222222</v>
      </c>
      <c r="X352" s="290">
        <v>25.0</v>
      </c>
      <c r="Y352" s="217"/>
      <c r="Z352" s="217"/>
      <c r="AA352" s="217"/>
      <c r="AB352" s="217"/>
      <c r="AC352" s="291">
        <f t="shared" si="44"/>
        <v>0</v>
      </c>
    </row>
    <row r="353" ht="14.25" customHeight="1">
      <c r="Q353" s="233">
        <v>27.0</v>
      </c>
      <c r="R353" s="213">
        <v>0.32916666666278616</v>
      </c>
      <c r="S353" s="214">
        <v>0.5</v>
      </c>
      <c r="T353" s="214">
        <v>0.5416666666715173</v>
      </c>
      <c r="U353" s="214">
        <v>0.7083333333333334</v>
      </c>
      <c r="V353" s="291">
        <f t="shared" si="43"/>
        <v>0.3375</v>
      </c>
      <c r="X353" s="290">
        <v>26.0</v>
      </c>
      <c r="Y353" s="217"/>
      <c r="Z353" s="217"/>
      <c r="AA353" s="217"/>
      <c r="AB353" s="217"/>
      <c r="AC353" s="291">
        <f t="shared" si="44"/>
        <v>0</v>
      </c>
    </row>
    <row r="354" ht="14.25" customHeight="1">
      <c r="Q354" s="233">
        <v>28.0</v>
      </c>
      <c r="R354" s="219"/>
      <c r="S354" s="214"/>
      <c r="T354" s="214"/>
      <c r="U354" s="214"/>
      <c r="V354" s="291">
        <f t="shared" si="43"/>
        <v>0</v>
      </c>
      <c r="X354" s="290">
        <v>27.0</v>
      </c>
      <c r="Y354" s="217"/>
      <c r="Z354" s="217"/>
      <c r="AA354" s="217"/>
      <c r="AB354" s="217"/>
      <c r="AC354" s="291">
        <f t="shared" si="44"/>
        <v>0</v>
      </c>
    </row>
    <row r="355" ht="14.25" customHeight="1">
      <c r="C355" s="370" t="s">
        <v>55</v>
      </c>
      <c r="D355" s="4"/>
      <c r="E355" s="4"/>
      <c r="F355" s="5"/>
      <c r="G355" s="370" t="s">
        <v>56</v>
      </c>
      <c r="H355" s="5"/>
      <c r="Q355" s="233">
        <v>29.0</v>
      </c>
      <c r="R355" s="219"/>
      <c r="S355" s="214"/>
      <c r="T355" s="214"/>
      <c r="U355" s="214"/>
      <c r="V355" s="291">
        <f t="shared" si="43"/>
        <v>0</v>
      </c>
      <c r="X355" s="290">
        <v>28.0</v>
      </c>
      <c r="Y355" s="217"/>
      <c r="Z355" s="217"/>
      <c r="AA355" s="217"/>
      <c r="AB355" s="217"/>
      <c r="AC355" s="291">
        <f t="shared" si="44"/>
        <v>0</v>
      </c>
    </row>
    <row r="356" ht="14.25" customHeight="1">
      <c r="C356" s="371">
        <f>B59-A322</f>
        <v>4.063888889</v>
      </c>
      <c r="F356" s="42"/>
      <c r="G356" s="372" t="str">
        <f>TEXT(A322/B59, "0.00%")</f>
        <v>79.93%</v>
      </c>
      <c r="H356" s="31"/>
      <c r="Q356" s="233">
        <v>30.0</v>
      </c>
      <c r="R356" s="217">
        <v>0.3305555555562023</v>
      </c>
      <c r="S356" s="214">
        <v>0.5</v>
      </c>
      <c r="T356" s="214">
        <v>0.5416666666715173</v>
      </c>
      <c r="U356" s="214">
        <v>0.7083333333333334</v>
      </c>
      <c r="V356" s="291">
        <f t="shared" si="43"/>
        <v>0.3361111111</v>
      </c>
      <c r="X356" s="290">
        <v>29.0</v>
      </c>
      <c r="Y356" s="217"/>
      <c r="Z356" s="217"/>
      <c r="AA356" s="217"/>
      <c r="AB356" s="217"/>
      <c r="AC356" s="291">
        <f t="shared" si="44"/>
        <v>0</v>
      </c>
    </row>
    <row r="357" ht="14.25" customHeight="1">
      <c r="C357" s="41"/>
      <c r="F357" s="42"/>
      <c r="G357" s="41"/>
      <c r="H357" s="42"/>
      <c r="Q357" s="233">
        <v>31.0</v>
      </c>
      <c r="R357" s="219">
        <v>0.3249999999970896</v>
      </c>
      <c r="S357" s="214">
        <v>0.5</v>
      </c>
      <c r="T357" s="214">
        <v>0.5416666666715173</v>
      </c>
      <c r="U357" s="214">
        <v>0.7083333333333334</v>
      </c>
      <c r="V357" s="291">
        <f t="shared" si="43"/>
        <v>0.3416666667</v>
      </c>
      <c r="X357" s="290">
        <v>30.0</v>
      </c>
      <c r="Y357" s="217"/>
      <c r="Z357" s="217"/>
      <c r="AA357" s="217"/>
      <c r="AB357" s="217"/>
      <c r="AC357" s="291">
        <f t="shared" si="44"/>
        <v>0</v>
      </c>
    </row>
    <row r="358" ht="14.25" customHeight="1">
      <c r="C358" s="33"/>
      <c r="D358" s="34"/>
      <c r="E358" s="34"/>
      <c r="F358" s="35"/>
      <c r="G358" s="33"/>
      <c r="H358" s="35"/>
      <c r="Q358" s="228" t="s">
        <v>17</v>
      </c>
      <c r="R358" s="4"/>
      <c r="S358" s="4"/>
      <c r="T358" s="4"/>
      <c r="U358" s="5"/>
      <c r="V358" s="234">
        <f>SUM(V327:V357)</f>
        <v>7.1125</v>
      </c>
      <c r="X358" s="349" t="s">
        <v>17</v>
      </c>
      <c r="Y358" s="4"/>
      <c r="Z358" s="4"/>
      <c r="AA358" s="4"/>
      <c r="AB358" s="5"/>
      <c r="AC358" s="350">
        <f>SUM(AC327:AC357)</f>
        <v>1.89375</v>
      </c>
    </row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>
      <c r="J368" s="373" t="s">
        <v>0</v>
      </c>
      <c r="K368" s="374" t="s">
        <v>3</v>
      </c>
      <c r="L368" s="239"/>
      <c r="M368" s="239"/>
      <c r="N368" s="240"/>
      <c r="O368" s="373" t="s">
        <v>2</v>
      </c>
      <c r="Q368" s="375" t="s">
        <v>0</v>
      </c>
      <c r="R368" s="376" t="s">
        <v>4</v>
      </c>
      <c r="S368" s="4"/>
      <c r="T368" s="4"/>
      <c r="U368" s="5"/>
      <c r="V368" s="377" t="s">
        <v>2</v>
      </c>
      <c r="X368" s="378" t="s">
        <v>0</v>
      </c>
      <c r="Y368" s="379" t="s">
        <v>5</v>
      </c>
      <c r="Z368" s="4"/>
      <c r="AA368" s="4"/>
      <c r="AB368" s="5"/>
      <c r="AC368" s="378" t="s">
        <v>2</v>
      </c>
      <c r="AD368" s="242"/>
      <c r="AE368" s="243" t="s">
        <v>37</v>
      </c>
      <c r="AF368" s="243" t="s">
        <v>9</v>
      </c>
      <c r="AG368" s="243" t="s">
        <v>10</v>
      </c>
    </row>
    <row r="369" ht="14.25" customHeight="1">
      <c r="A369" s="380">
        <f>SUM(H388,O395,V402,AC402)</f>
        <v>15.95138889</v>
      </c>
      <c r="J369" s="244"/>
      <c r="K369" s="374" t="s">
        <v>6</v>
      </c>
      <c r="L369" s="240"/>
      <c r="M369" s="374" t="s">
        <v>7</v>
      </c>
      <c r="N369" s="240"/>
      <c r="O369" s="244"/>
      <c r="Q369" s="10"/>
      <c r="R369" s="376" t="s">
        <v>6</v>
      </c>
      <c r="S369" s="5"/>
      <c r="T369" s="376" t="s">
        <v>7</v>
      </c>
      <c r="U369" s="5"/>
      <c r="V369" s="10"/>
      <c r="X369" s="10"/>
      <c r="Y369" s="381" t="s">
        <v>6</v>
      </c>
      <c r="Z369" s="5"/>
      <c r="AA369" s="381" t="s">
        <v>7</v>
      </c>
      <c r="AB369" s="5"/>
      <c r="AC369" s="10"/>
      <c r="AD369" s="242"/>
      <c r="AE369" s="125" t="s">
        <v>13</v>
      </c>
      <c r="AF369" s="207" t="s">
        <v>14</v>
      </c>
      <c r="AG369" s="208">
        <f>sum(H385:H386)</f>
        <v>0.6909722222</v>
      </c>
    </row>
    <row r="370" ht="14.25" customHeight="1">
      <c r="J370" s="246"/>
      <c r="K370" s="382" t="s">
        <v>11</v>
      </c>
      <c r="L370" s="382" t="s">
        <v>12</v>
      </c>
      <c r="M370" s="382" t="s">
        <v>11</v>
      </c>
      <c r="N370" s="382" t="s">
        <v>12</v>
      </c>
      <c r="O370" s="246"/>
      <c r="Q370" s="13"/>
      <c r="R370" s="383" t="s">
        <v>11</v>
      </c>
      <c r="S370" s="383" t="s">
        <v>12</v>
      </c>
      <c r="T370" s="383" t="s">
        <v>11</v>
      </c>
      <c r="U370" s="383" t="s">
        <v>12</v>
      </c>
      <c r="V370" s="13"/>
      <c r="X370" s="13"/>
      <c r="Y370" s="384" t="s">
        <v>11</v>
      </c>
      <c r="Z370" s="384" t="s">
        <v>12</v>
      </c>
      <c r="AA370" s="384" t="s">
        <v>11</v>
      </c>
      <c r="AB370" s="384" t="s">
        <v>12</v>
      </c>
      <c r="AC370" s="13"/>
      <c r="AD370" s="242"/>
      <c r="AE370" s="125" t="s">
        <v>15</v>
      </c>
      <c r="AF370" s="211">
        <v>46037.0</v>
      </c>
      <c r="AG370" s="208">
        <f>sum(O371:O380)</f>
        <v>3.40625</v>
      </c>
    </row>
    <row r="371" ht="14.25" customHeight="1">
      <c r="C371" s="385" t="s">
        <v>57</v>
      </c>
      <c r="J371" s="251">
        <v>2.0</v>
      </c>
      <c r="K371" s="252">
        <v>0.32569444444444445</v>
      </c>
      <c r="L371" s="252">
        <v>0.5</v>
      </c>
      <c r="M371" s="252">
        <v>0.5416666666666666</v>
      </c>
      <c r="N371" s="252">
        <v>0.7083333333333334</v>
      </c>
      <c r="O371" s="291">
        <f t="shared" ref="O371:O394" si="45">SUM(L371-K371)+(N371-M371)</f>
        <v>0.3409722222</v>
      </c>
      <c r="Q371" s="212">
        <v>2.0</v>
      </c>
      <c r="R371" s="213">
        <v>0.32569444444444445</v>
      </c>
      <c r="S371" s="214">
        <v>0.5020833333328483</v>
      </c>
      <c r="T371" s="214">
        <v>0.5416666666715173</v>
      </c>
      <c r="U371" s="214">
        <v>0.711111111115315</v>
      </c>
      <c r="V371" s="291">
        <f t="shared" ref="V371:V386" si="46">SUM(S371-R371)+(U371-T371)</f>
        <v>0.3458333333</v>
      </c>
      <c r="X371" s="290">
        <v>1.0</v>
      </c>
      <c r="Y371" s="217">
        <v>0.275</v>
      </c>
      <c r="Z371" s="217">
        <v>0.5034722222189885</v>
      </c>
      <c r="AA371" s="217"/>
      <c r="AB371" s="217"/>
      <c r="AC371" s="291">
        <f t="shared" ref="AC371:AC386" si="47">SUM(Z371-Y371)+(AB371-AA371)</f>
        <v>0.2284722222</v>
      </c>
      <c r="AD371" s="242"/>
      <c r="AE371" s="125" t="s">
        <v>15</v>
      </c>
      <c r="AF371" s="207" t="s">
        <v>16</v>
      </c>
      <c r="AG371" s="208">
        <f>sum(O382:O393)</f>
        <v>3.245138889</v>
      </c>
    </row>
    <row r="372" ht="14.25" customHeight="1">
      <c r="J372" s="251">
        <v>3.0</v>
      </c>
      <c r="K372" s="252">
        <v>0.3263888888888889</v>
      </c>
      <c r="L372" s="252">
        <v>0.5</v>
      </c>
      <c r="M372" s="252">
        <v>0.5416666666666666</v>
      </c>
      <c r="N372" s="254">
        <v>0.7118055555555556</v>
      </c>
      <c r="O372" s="291">
        <f t="shared" si="45"/>
        <v>0.34375</v>
      </c>
      <c r="Q372" s="212">
        <v>3.0</v>
      </c>
      <c r="R372" s="213">
        <v>0.32916666666278616</v>
      </c>
      <c r="S372" s="214">
        <v>0.5006944444467081</v>
      </c>
      <c r="T372" s="214">
        <v>0.5347222222226264</v>
      </c>
      <c r="U372" s="214">
        <v>0.7090277777751908</v>
      </c>
      <c r="V372" s="291">
        <f t="shared" si="46"/>
        <v>0.3458333333</v>
      </c>
      <c r="X372" s="290">
        <v>2.0</v>
      </c>
      <c r="Y372" s="218"/>
      <c r="Z372" s="218"/>
      <c r="AA372" s="218"/>
      <c r="AB372" s="219"/>
      <c r="AC372" s="291">
        <f t="shared" si="47"/>
        <v>0</v>
      </c>
      <c r="AD372" s="242"/>
      <c r="AE372" s="125" t="s">
        <v>18</v>
      </c>
      <c r="AF372" s="211">
        <v>46037.0</v>
      </c>
      <c r="AG372" s="208">
        <f>sum(V371:V382)</f>
        <v>3.361111111</v>
      </c>
    </row>
    <row r="373" ht="14.25" customHeight="1">
      <c r="C373" s="245" t="s">
        <v>42</v>
      </c>
      <c r="J373" s="251">
        <v>4.0</v>
      </c>
      <c r="K373" s="252">
        <v>0.3263888888888889</v>
      </c>
      <c r="L373" s="252">
        <v>0.5</v>
      </c>
      <c r="M373" s="252">
        <v>0.5416666666666666</v>
      </c>
      <c r="N373" s="252">
        <v>0.7083333333333334</v>
      </c>
      <c r="O373" s="291">
        <f t="shared" si="45"/>
        <v>0.3402777778</v>
      </c>
      <c r="Q373" s="212">
        <v>4.0</v>
      </c>
      <c r="R373" s="213">
        <v>0.32986111110949423</v>
      </c>
      <c r="S373" s="214">
        <v>0.5</v>
      </c>
      <c r="T373" s="214"/>
      <c r="U373" s="214"/>
      <c r="V373" s="291">
        <f t="shared" si="46"/>
        <v>0.1701388889</v>
      </c>
      <c r="X373" s="290">
        <v>3.0</v>
      </c>
      <c r="Y373" s="219"/>
      <c r="Z373" s="218"/>
      <c r="AA373" s="218"/>
      <c r="AB373" s="219"/>
      <c r="AC373" s="291">
        <f t="shared" si="47"/>
        <v>0</v>
      </c>
      <c r="AD373" s="242"/>
      <c r="AE373" s="125" t="s">
        <v>18</v>
      </c>
      <c r="AF373" s="207" t="s">
        <v>19</v>
      </c>
      <c r="AG373" s="208">
        <f>sum(V385:V401)</f>
        <v>4.295138889</v>
      </c>
    </row>
    <row r="374" ht="14.25" customHeight="1">
      <c r="C374" s="386" t="str">
        <f>TEXT(SUM(H388,O395,V402,AC402),"[h]")&amp;" hrs"
</f>
        <v>382 hrs</v>
      </c>
      <c r="J374" s="251">
        <v>5.0</v>
      </c>
      <c r="K374" s="252">
        <v>0.3263888888888889</v>
      </c>
      <c r="L374" s="252">
        <v>0.5</v>
      </c>
      <c r="M374" s="252">
        <v>0.5416666666666666</v>
      </c>
      <c r="N374" s="254">
        <v>0.7104166666666667</v>
      </c>
      <c r="O374" s="291">
        <f t="shared" si="45"/>
        <v>0.3423611111</v>
      </c>
      <c r="Q374" s="212">
        <v>5.0</v>
      </c>
      <c r="R374" s="213">
        <v>0.32916666666278616</v>
      </c>
      <c r="S374" s="214">
        <v>0.5006944444467081</v>
      </c>
      <c r="T374" s="214">
        <v>0.5347222222189885</v>
      </c>
      <c r="U374" s="214">
        <v>0.7104166666686069</v>
      </c>
      <c r="V374" s="291">
        <f t="shared" si="46"/>
        <v>0.3472222222</v>
      </c>
      <c r="X374" s="290">
        <v>4.0</v>
      </c>
      <c r="Y374" s="219"/>
      <c r="Z374" s="218"/>
      <c r="AA374" s="218"/>
      <c r="AB374" s="219"/>
      <c r="AC374" s="291">
        <f t="shared" si="47"/>
        <v>0</v>
      </c>
      <c r="AD374" s="242"/>
      <c r="AE374" s="125" t="s">
        <v>5</v>
      </c>
      <c r="AF374" s="211">
        <v>46037.0</v>
      </c>
      <c r="AG374" s="208">
        <f>sum(AC371:AC380)</f>
        <v>0.9527777778</v>
      </c>
    </row>
    <row r="375" ht="14.25" customHeight="1">
      <c r="J375" s="251">
        <v>6.0</v>
      </c>
      <c r="K375" s="252">
        <v>0.3263888888888889</v>
      </c>
      <c r="L375" s="252">
        <v>0.5</v>
      </c>
      <c r="M375" s="252">
        <v>0.5416666666666666</v>
      </c>
      <c r="N375" s="252">
        <v>0.7083333333333334</v>
      </c>
      <c r="O375" s="291">
        <f t="shared" si="45"/>
        <v>0.3402777778</v>
      </c>
      <c r="Q375" s="212">
        <v>6.0</v>
      </c>
      <c r="R375" s="219">
        <v>0.33194444444961846</v>
      </c>
      <c r="S375" s="219">
        <v>0.5361111111111111</v>
      </c>
      <c r="T375" s="219">
        <v>0.5361111111124046</v>
      </c>
      <c r="U375" s="219">
        <v>0.7083333333284827</v>
      </c>
      <c r="V375" s="291">
        <f t="shared" si="46"/>
        <v>0.3763888889</v>
      </c>
      <c r="X375" s="290">
        <v>5.0</v>
      </c>
      <c r="Y375" s="217"/>
      <c r="Z375" s="217"/>
      <c r="AA375" s="217"/>
      <c r="AB375" s="217"/>
      <c r="AC375" s="291">
        <f t="shared" si="47"/>
        <v>0</v>
      </c>
      <c r="AD375" s="242"/>
      <c r="AE375" s="125" t="s">
        <v>5</v>
      </c>
      <c r="AF375" s="207" t="s">
        <v>21</v>
      </c>
      <c r="AG375" s="208">
        <f>sum(AC381:AC390)</f>
        <v>0</v>
      </c>
    </row>
    <row r="376" ht="14.25" customHeight="1">
      <c r="J376" s="255">
        <v>9.0</v>
      </c>
      <c r="K376" s="252">
        <v>0.3298611111111111</v>
      </c>
      <c r="L376" s="252">
        <v>0.5</v>
      </c>
      <c r="M376" s="252">
        <v>0.5416666666666666</v>
      </c>
      <c r="N376" s="252">
        <v>0.7083333333333334</v>
      </c>
      <c r="O376" s="291">
        <f t="shared" si="45"/>
        <v>0.3368055556</v>
      </c>
      <c r="Q376" s="212">
        <v>7.0</v>
      </c>
      <c r="R376" s="221"/>
      <c r="S376" s="221"/>
      <c r="T376" s="221"/>
      <c r="U376" s="221"/>
      <c r="V376" s="291">
        <f t="shared" si="46"/>
        <v>0</v>
      </c>
      <c r="X376" s="290">
        <v>6.0</v>
      </c>
      <c r="Y376" s="219">
        <v>0.3284722222222222</v>
      </c>
      <c r="Z376" s="219">
        <v>0.5041666666666667</v>
      </c>
      <c r="AA376" s="219">
        <v>0.5208333333284827</v>
      </c>
      <c r="AB376" s="219">
        <v>0.7097222222222223</v>
      </c>
      <c r="AC376" s="291">
        <f t="shared" si="47"/>
        <v>0.3645833333</v>
      </c>
      <c r="AD376" s="242"/>
      <c r="AE376" s="222"/>
      <c r="AF376" s="222"/>
      <c r="AG376" s="222"/>
    </row>
    <row r="377" ht="14.25" customHeight="1">
      <c r="J377" s="251">
        <v>10.0</v>
      </c>
      <c r="K377" s="252">
        <v>0.3333333333333333</v>
      </c>
      <c r="L377" s="252">
        <v>0.5</v>
      </c>
      <c r="M377" s="252">
        <v>0.5416666666666666</v>
      </c>
      <c r="N377" s="252">
        <v>0.7083333333333334</v>
      </c>
      <c r="O377" s="291">
        <f t="shared" si="45"/>
        <v>0.3333333333</v>
      </c>
      <c r="Q377" s="212">
        <v>8.0</v>
      </c>
      <c r="R377" s="213"/>
      <c r="S377" s="213"/>
      <c r="T377" s="213"/>
      <c r="U377" s="213"/>
      <c r="V377" s="291">
        <f t="shared" si="46"/>
        <v>0</v>
      </c>
      <c r="X377" s="290">
        <v>7.0</v>
      </c>
      <c r="Y377" s="387">
        <v>0.32916666666666666</v>
      </c>
      <c r="Z377" s="219">
        <v>0.5048611111111111</v>
      </c>
      <c r="AA377" s="219">
        <v>0.5256944444444445</v>
      </c>
      <c r="AB377" s="219">
        <v>0.7097222222222223</v>
      </c>
      <c r="AC377" s="291">
        <f t="shared" si="47"/>
        <v>0.3597222222</v>
      </c>
      <c r="AD377" s="242"/>
      <c r="AE377" s="222"/>
      <c r="AF377" s="222"/>
      <c r="AG377" s="222"/>
    </row>
    <row r="378" ht="14.25" customHeight="1">
      <c r="D378" s="337"/>
      <c r="J378" s="251">
        <v>11.0</v>
      </c>
      <c r="K378" s="252">
        <v>0.3263888888888889</v>
      </c>
      <c r="L378" s="252">
        <v>0.5</v>
      </c>
      <c r="M378" s="252">
        <v>0.5416666666666666</v>
      </c>
      <c r="N378" s="252">
        <v>0.7083333333333334</v>
      </c>
      <c r="O378" s="291">
        <f t="shared" si="45"/>
        <v>0.3402777778</v>
      </c>
      <c r="Q378" s="212">
        <v>9.0</v>
      </c>
      <c r="R378" s="213">
        <v>0.3312500000029104</v>
      </c>
      <c r="S378" s="213">
        <v>0.5013888888934162</v>
      </c>
      <c r="T378" s="213">
        <v>0.5347222222226264</v>
      </c>
      <c r="U378" s="213">
        <v>0.7104166666686069</v>
      </c>
      <c r="V378" s="291">
        <f t="shared" si="46"/>
        <v>0.3458333333</v>
      </c>
      <c r="X378" s="290">
        <v>8.0</v>
      </c>
      <c r="Y378" s="217"/>
      <c r="Z378" s="217"/>
      <c r="AA378" s="217"/>
      <c r="AB378" s="217"/>
      <c r="AC378" s="291">
        <f t="shared" si="47"/>
        <v>0</v>
      </c>
      <c r="AD378" s="242"/>
      <c r="AE378" s="222"/>
      <c r="AF378" s="225" t="s">
        <v>17</v>
      </c>
      <c r="AG378" s="208">
        <f>sum(AG369:AG375)</f>
        <v>15.95138889</v>
      </c>
    </row>
    <row r="379" ht="14.25" customHeight="1">
      <c r="J379" s="251">
        <v>12.0</v>
      </c>
      <c r="K379" s="252">
        <v>0.3215277777777778</v>
      </c>
      <c r="L379" s="252">
        <v>0.5</v>
      </c>
      <c r="M379" s="252">
        <v>0.5416666666666666</v>
      </c>
      <c r="N379" s="252">
        <v>0.7083333333333334</v>
      </c>
      <c r="O379" s="291">
        <f t="shared" si="45"/>
        <v>0.3451388889</v>
      </c>
      <c r="Q379" s="212">
        <v>10.0</v>
      </c>
      <c r="R379" s="213">
        <v>0.32222222222480923</v>
      </c>
      <c r="S379" s="213">
        <v>0.5027777777795563</v>
      </c>
      <c r="T379" s="213">
        <v>0.5347222222226264</v>
      </c>
      <c r="U379" s="213">
        <v>0.7125000000014552</v>
      </c>
      <c r="V379" s="291">
        <f t="shared" si="46"/>
        <v>0.3583333333</v>
      </c>
      <c r="X379" s="290">
        <v>9.0</v>
      </c>
      <c r="Y379" s="217"/>
      <c r="Z379" s="217"/>
      <c r="AA379" s="217"/>
      <c r="AB379" s="217"/>
      <c r="AC379" s="291">
        <f t="shared" si="47"/>
        <v>0</v>
      </c>
      <c r="AD379" s="242"/>
      <c r="AE379" s="248"/>
      <c r="AF379" s="248"/>
      <c r="AG379" s="248"/>
    </row>
    <row r="380" ht="14.25" customHeight="1">
      <c r="J380" s="251">
        <v>13.0</v>
      </c>
      <c r="K380" s="252">
        <v>0.32569444444444445</v>
      </c>
      <c r="L380" s="252">
        <v>0.5</v>
      </c>
      <c r="M380" s="252">
        <v>0.5416666666666666</v>
      </c>
      <c r="N380" s="254">
        <v>0.7104166666666667</v>
      </c>
      <c r="O380" s="291">
        <f t="shared" si="45"/>
        <v>0.3430555556</v>
      </c>
      <c r="Q380" s="212">
        <v>11.0</v>
      </c>
      <c r="R380" s="217">
        <v>0.32638888889050577</v>
      </c>
      <c r="S380" s="217">
        <v>0.5</v>
      </c>
      <c r="T380" s="217">
        <v>0.5256944444408873</v>
      </c>
      <c r="U380" s="217">
        <v>0.711111111115315</v>
      </c>
      <c r="V380" s="291">
        <f t="shared" si="46"/>
        <v>0.3590277778</v>
      </c>
      <c r="X380" s="303">
        <v>10.0</v>
      </c>
      <c r="Y380" s="217"/>
      <c r="Z380" s="217"/>
      <c r="AA380" s="217"/>
      <c r="AB380" s="217"/>
      <c r="AC380" s="291">
        <f t="shared" si="47"/>
        <v>0</v>
      </c>
      <c r="AD380" s="259"/>
      <c r="AE380" s="28"/>
      <c r="AF380" s="28"/>
      <c r="AG380" s="28"/>
    </row>
    <row r="381" ht="14.25" customHeight="1">
      <c r="J381" s="251">
        <v>14.0</v>
      </c>
      <c r="K381" s="252"/>
      <c r="L381" s="252"/>
      <c r="M381" s="252"/>
      <c r="N381" s="252"/>
      <c r="O381" s="291">
        <f t="shared" si="45"/>
        <v>0</v>
      </c>
      <c r="Q381" s="212">
        <v>12.0</v>
      </c>
      <c r="R381" s="219">
        <v>0.32638888889050577</v>
      </c>
      <c r="S381" s="219">
        <v>0.5006944444467081</v>
      </c>
      <c r="T381" s="213">
        <v>0.5381944444452529</v>
      </c>
      <c r="U381" s="213">
        <v>0.7097222222218988</v>
      </c>
      <c r="V381" s="291">
        <f t="shared" si="46"/>
        <v>0.3458333333</v>
      </c>
      <c r="X381" s="303">
        <v>11.0</v>
      </c>
      <c r="Y381" s="217"/>
      <c r="Z381" s="217"/>
      <c r="AA381" s="217"/>
      <c r="AB381" s="217"/>
      <c r="AC381" s="291">
        <f t="shared" si="47"/>
        <v>0</v>
      </c>
    </row>
    <row r="382" ht="14.25" customHeight="1">
      <c r="C382" s="373" t="s">
        <v>0</v>
      </c>
      <c r="D382" s="388" t="s">
        <v>25</v>
      </c>
      <c r="E382" s="239"/>
      <c r="F382" s="239"/>
      <c r="G382" s="240"/>
      <c r="H382" s="373" t="s">
        <v>2</v>
      </c>
      <c r="J382" s="251">
        <v>16.0</v>
      </c>
      <c r="K382" s="252">
        <v>0.32430555555555557</v>
      </c>
      <c r="L382" s="252">
        <v>0.5</v>
      </c>
      <c r="M382" s="252">
        <v>0.5416666666666666</v>
      </c>
      <c r="N382" s="252">
        <v>0.7083333333333334</v>
      </c>
      <c r="O382" s="291">
        <f t="shared" si="45"/>
        <v>0.3423611111</v>
      </c>
      <c r="Q382" s="212">
        <v>13.0</v>
      </c>
      <c r="R382" s="219">
        <v>0.32638888889050577</v>
      </c>
      <c r="S382" s="219">
        <v>0.5006944444467081</v>
      </c>
      <c r="T382" s="213">
        <v>0.5166666666627862</v>
      </c>
      <c r="U382" s="213">
        <v>0.7090277777751908</v>
      </c>
      <c r="V382" s="291">
        <f t="shared" si="46"/>
        <v>0.3666666667</v>
      </c>
      <c r="X382" s="303">
        <v>12.0</v>
      </c>
      <c r="Y382" s="217"/>
      <c r="Z382" s="217"/>
      <c r="AA382" s="217"/>
      <c r="AB382" s="217"/>
      <c r="AC382" s="291">
        <f t="shared" si="47"/>
        <v>0</v>
      </c>
    </row>
    <row r="383" ht="14.25" customHeight="1">
      <c r="C383" s="244"/>
      <c r="D383" s="374" t="s">
        <v>6</v>
      </c>
      <c r="E383" s="240"/>
      <c r="F383" s="374" t="s">
        <v>7</v>
      </c>
      <c r="G383" s="240"/>
      <c r="H383" s="244"/>
      <c r="J383" s="251">
        <v>17.0</v>
      </c>
      <c r="K383" s="254">
        <v>0.28402777777777777</v>
      </c>
      <c r="L383" s="254">
        <v>0.5</v>
      </c>
      <c r="M383" s="254">
        <v>0.041666666666666664</v>
      </c>
      <c r="N383" s="254">
        <v>0.125</v>
      </c>
      <c r="O383" s="291">
        <f t="shared" si="45"/>
        <v>0.2993055556</v>
      </c>
      <c r="Q383" s="212">
        <v>14.0</v>
      </c>
      <c r="R383" s="221"/>
      <c r="S383" s="221"/>
      <c r="T383" s="221"/>
      <c r="U383" s="221"/>
      <c r="V383" s="291">
        <f t="shared" si="46"/>
        <v>0</v>
      </c>
      <c r="X383" s="303">
        <v>13.0</v>
      </c>
      <c r="Y383" s="217"/>
      <c r="Z383" s="217"/>
      <c r="AA383" s="217"/>
      <c r="AB383" s="217"/>
      <c r="AC383" s="291">
        <f t="shared" si="47"/>
        <v>0</v>
      </c>
    </row>
    <row r="384" ht="14.25" customHeight="1">
      <c r="C384" s="246"/>
      <c r="D384" s="382" t="s">
        <v>11</v>
      </c>
      <c r="E384" s="382" t="s">
        <v>12</v>
      </c>
      <c r="F384" s="382" t="s">
        <v>11</v>
      </c>
      <c r="G384" s="382" t="s">
        <v>12</v>
      </c>
      <c r="H384" s="246"/>
      <c r="J384" s="251">
        <v>18.0</v>
      </c>
      <c r="K384" s="252">
        <v>0.32222222222222224</v>
      </c>
      <c r="L384" s="252">
        <v>0.5</v>
      </c>
      <c r="M384" s="252">
        <v>0.5243055555555556</v>
      </c>
      <c r="N384" s="252">
        <v>0.7083333333333334</v>
      </c>
      <c r="O384" s="291">
        <f t="shared" si="45"/>
        <v>0.3618055556</v>
      </c>
      <c r="Q384" s="212">
        <v>15.0</v>
      </c>
      <c r="R384" s="217"/>
      <c r="S384" s="218"/>
      <c r="T384" s="218"/>
      <c r="U384" s="218"/>
      <c r="V384" s="291">
        <f t="shared" si="46"/>
        <v>0</v>
      </c>
      <c r="X384" s="303">
        <v>14.0</v>
      </c>
      <c r="Y384" s="217"/>
      <c r="Z384" s="217"/>
      <c r="AA384" s="217"/>
      <c r="AB384" s="217"/>
      <c r="AC384" s="291">
        <f t="shared" si="47"/>
        <v>0</v>
      </c>
    </row>
    <row r="385" ht="14.25" customHeight="1">
      <c r="C385" s="251">
        <v>29.0</v>
      </c>
      <c r="D385" s="264">
        <v>0.3333333333333333</v>
      </c>
      <c r="E385" s="264">
        <v>0.5</v>
      </c>
      <c r="F385" s="264">
        <v>0.5416666666666666</v>
      </c>
      <c r="G385" s="264">
        <v>0.7083333333333334</v>
      </c>
      <c r="H385" s="366">
        <f>SUM(L371-K371)+(N371-M371)</f>
        <v>0.3409722222</v>
      </c>
      <c r="J385" s="251">
        <v>19.0</v>
      </c>
      <c r="K385" s="252">
        <v>0.325</v>
      </c>
      <c r="L385" s="252">
        <v>0.5</v>
      </c>
      <c r="M385" s="252">
        <v>0.5416666666666666</v>
      </c>
      <c r="N385" s="252">
        <v>0.7083333333333334</v>
      </c>
      <c r="O385" s="291">
        <f t="shared" si="45"/>
        <v>0.3416666667</v>
      </c>
      <c r="Q385" s="212">
        <v>16.0</v>
      </c>
      <c r="R385" s="217">
        <v>0.32777777777664596</v>
      </c>
      <c r="S385" s="219">
        <v>0.5006944444467081</v>
      </c>
      <c r="T385" s="219">
        <v>0.5180555555562023</v>
      </c>
      <c r="U385" s="219">
        <v>0.7097222222218988</v>
      </c>
      <c r="V385" s="291">
        <f t="shared" si="46"/>
        <v>0.3645833333</v>
      </c>
      <c r="X385" s="303">
        <v>15.0</v>
      </c>
      <c r="Y385" s="217"/>
      <c r="Z385" s="217"/>
      <c r="AA385" s="217"/>
      <c r="AB385" s="217"/>
      <c r="AC385" s="291">
        <f t="shared" si="47"/>
        <v>0</v>
      </c>
    </row>
    <row r="386" ht="14.25" customHeight="1">
      <c r="C386" s="251">
        <v>30.0</v>
      </c>
      <c r="D386" s="264">
        <v>0.31875</v>
      </c>
      <c r="E386" s="264">
        <v>0.5</v>
      </c>
      <c r="F386" s="264">
        <v>0.5416666666666666</v>
      </c>
      <c r="G386" s="264">
        <v>0.7104166666666667</v>
      </c>
      <c r="H386" s="366">
        <f>SUM(E386-D386)+(G386-F386)</f>
        <v>0.35</v>
      </c>
      <c r="J386" s="251">
        <v>20.0</v>
      </c>
      <c r="K386" s="254">
        <v>0.3236111111111111</v>
      </c>
      <c r="L386" s="254">
        <v>0.5</v>
      </c>
      <c r="M386" s="252">
        <v>0.5416666666666666</v>
      </c>
      <c r="N386" s="252">
        <v>0.7083333333333334</v>
      </c>
      <c r="O386" s="291">
        <f t="shared" si="45"/>
        <v>0.3430555556</v>
      </c>
      <c r="Q386" s="212">
        <v>17.0</v>
      </c>
      <c r="R386" s="217">
        <v>0.3256944444437977</v>
      </c>
      <c r="S386" s="219">
        <v>0.5013888888934162</v>
      </c>
      <c r="T386" s="219">
        <v>0.5222222222218988</v>
      </c>
      <c r="U386" s="219">
        <v>0.7097222222218988</v>
      </c>
      <c r="V386" s="291">
        <f t="shared" si="46"/>
        <v>0.3631944444</v>
      </c>
      <c r="X386" s="303">
        <v>16.0</v>
      </c>
      <c r="Y386" s="217"/>
      <c r="Z386" s="217"/>
      <c r="AA386" s="217"/>
      <c r="AB386" s="217"/>
      <c r="AC386" s="291">
        <f t="shared" si="47"/>
        <v>0</v>
      </c>
    </row>
    <row r="387" ht="14.25" customHeight="1">
      <c r="C387" s="251"/>
      <c r="D387" s="264"/>
      <c r="E387" s="264"/>
      <c r="F387" s="264"/>
      <c r="G387" s="264"/>
      <c r="H387" s="366"/>
      <c r="J387" s="251">
        <v>21.0</v>
      </c>
      <c r="K387" s="252"/>
      <c r="L387" s="252"/>
      <c r="M387" s="252"/>
      <c r="N387" s="252"/>
      <c r="O387" s="291">
        <f t="shared" si="45"/>
        <v>0</v>
      </c>
      <c r="Q387" s="212"/>
      <c r="R387" s="217"/>
      <c r="S387" s="218"/>
      <c r="T387" s="218"/>
      <c r="U387" s="218"/>
      <c r="V387" s="291"/>
      <c r="X387" s="303"/>
      <c r="Y387" s="217"/>
      <c r="Z387" s="217"/>
      <c r="AA387" s="217"/>
      <c r="AB387" s="217"/>
      <c r="AC387" s="291"/>
    </row>
    <row r="388" ht="14.25" customHeight="1">
      <c r="C388" s="269" t="s">
        <v>17</v>
      </c>
      <c r="D388" s="239"/>
      <c r="E388" s="239"/>
      <c r="F388" s="239"/>
      <c r="G388" s="240"/>
      <c r="H388" s="270">
        <f>SUM(H385:H386)</f>
        <v>0.6909722222</v>
      </c>
      <c r="J388" s="255">
        <v>22.0</v>
      </c>
      <c r="K388" s="252"/>
      <c r="L388" s="252"/>
      <c r="M388" s="252"/>
      <c r="N388" s="252"/>
      <c r="O388" s="291">
        <f t="shared" si="45"/>
        <v>0</v>
      </c>
      <c r="Q388" s="212">
        <v>18.0</v>
      </c>
      <c r="R388" s="213">
        <v>0.3305555555562023</v>
      </c>
      <c r="S388" s="213">
        <v>0.5006944444467081</v>
      </c>
      <c r="T388" s="217">
        <v>0.5374999999985448</v>
      </c>
      <c r="U388" s="217">
        <v>0.7104166666686069</v>
      </c>
      <c r="V388" s="291">
        <f t="shared" ref="V388:V401" si="48">SUM(S388-R388)+(U388-T388)</f>
        <v>0.3430555556</v>
      </c>
      <c r="X388" s="303">
        <v>17.0</v>
      </c>
      <c r="Y388" s="217"/>
      <c r="Z388" s="217"/>
      <c r="AA388" s="217"/>
      <c r="AB388" s="217"/>
      <c r="AC388" s="291">
        <f t="shared" ref="AC388:AC401" si="49">SUM(Z388-Y388)+(AB388-AA388)</f>
        <v>0</v>
      </c>
    </row>
    <row r="389" ht="14.25" customHeight="1">
      <c r="J389" s="255">
        <v>23.0</v>
      </c>
      <c r="K389" s="252">
        <v>0.3277777777777778</v>
      </c>
      <c r="L389" s="252">
        <v>0.5</v>
      </c>
      <c r="M389" s="252">
        <v>0.5416666666666666</v>
      </c>
      <c r="N389" s="252">
        <v>0.7083333333333334</v>
      </c>
      <c r="O389" s="291">
        <f t="shared" si="45"/>
        <v>0.3388888889</v>
      </c>
      <c r="Q389" s="212">
        <v>19.0</v>
      </c>
      <c r="R389" s="217">
        <v>0.32986111110949423</v>
      </c>
      <c r="S389" s="213">
        <v>0.5173611111094942</v>
      </c>
      <c r="T389" s="219">
        <v>0.53125</v>
      </c>
      <c r="U389" s="219">
        <v>0.7097222222218988</v>
      </c>
      <c r="V389" s="291">
        <f t="shared" si="48"/>
        <v>0.3659722222</v>
      </c>
      <c r="X389" s="303">
        <v>18.0</v>
      </c>
      <c r="Y389" s="217"/>
      <c r="Z389" s="217"/>
      <c r="AA389" s="217"/>
      <c r="AB389" s="217"/>
      <c r="AC389" s="291">
        <f t="shared" si="49"/>
        <v>0</v>
      </c>
    </row>
    <row r="390" ht="14.25" customHeight="1">
      <c r="D390" s="257" t="s">
        <v>58</v>
      </c>
      <c r="J390" s="255">
        <v>24.0</v>
      </c>
      <c r="K390" s="252">
        <v>0.32708333333333334</v>
      </c>
      <c r="L390" s="252">
        <v>0.5</v>
      </c>
      <c r="M390" s="252">
        <v>0.5381944444444444</v>
      </c>
      <c r="N390" s="252">
        <v>0.7083333333333334</v>
      </c>
      <c r="O390" s="291">
        <f t="shared" si="45"/>
        <v>0.3430555556</v>
      </c>
      <c r="Q390" s="212">
        <v>20.0</v>
      </c>
      <c r="R390" s="217">
        <v>0.3236111111111111</v>
      </c>
      <c r="S390" s="219">
        <v>0.5</v>
      </c>
      <c r="T390" s="217">
        <v>0.5416666666666666</v>
      </c>
      <c r="U390" s="217">
        <v>0.7083333333333334</v>
      </c>
      <c r="V390" s="291">
        <f t="shared" si="48"/>
        <v>0.3430555556</v>
      </c>
      <c r="X390" s="303">
        <v>19.0</v>
      </c>
      <c r="Y390" s="217"/>
      <c r="Z390" s="217"/>
      <c r="AA390" s="217"/>
      <c r="AB390" s="217"/>
      <c r="AC390" s="291">
        <f t="shared" si="49"/>
        <v>0</v>
      </c>
    </row>
    <row r="391" ht="14.25" customHeight="1">
      <c r="D391" s="389" t="str">
        <f>INT(((486/24)-SUM(H388+O395+V402+AC402))*24/8) &amp; " days"
</f>
        <v>12 days</v>
      </c>
      <c r="J391" s="255">
        <v>25.0</v>
      </c>
      <c r="K391" s="252">
        <v>0.3284722222222222</v>
      </c>
      <c r="L391" s="252">
        <v>0.5</v>
      </c>
      <c r="M391" s="252">
        <v>0.5284722222222222</v>
      </c>
      <c r="N391" s="252">
        <v>0.7083333333333334</v>
      </c>
      <c r="O391" s="291">
        <f t="shared" si="45"/>
        <v>0.3513888889</v>
      </c>
      <c r="Q391" s="212">
        <v>21.0</v>
      </c>
      <c r="R391" s="221"/>
      <c r="S391" s="221"/>
      <c r="T391" s="221"/>
      <c r="U391" s="221"/>
      <c r="V391" s="291">
        <f t="shared" si="48"/>
        <v>0</v>
      </c>
      <c r="X391" s="303">
        <v>20.0</v>
      </c>
      <c r="Y391" s="217"/>
      <c r="Z391" s="217"/>
      <c r="AA391" s="217"/>
      <c r="AB391" s="217"/>
      <c r="AC391" s="291">
        <f t="shared" si="49"/>
        <v>0</v>
      </c>
    </row>
    <row r="392" ht="14.25" customHeight="1">
      <c r="J392" s="255">
        <v>26.0</v>
      </c>
      <c r="K392" s="252">
        <v>0.325</v>
      </c>
      <c r="L392" s="252">
        <v>0.5</v>
      </c>
      <c r="M392" s="252">
        <v>0.5381944444444444</v>
      </c>
      <c r="N392" s="252">
        <v>0.7083333333333334</v>
      </c>
      <c r="O392" s="291">
        <f t="shared" si="45"/>
        <v>0.3451388889</v>
      </c>
      <c r="Q392" s="220">
        <v>22.0</v>
      </c>
      <c r="R392" s="219"/>
      <c r="S392" s="218"/>
      <c r="T392" s="218"/>
      <c r="U392" s="218"/>
      <c r="V392" s="291">
        <f t="shared" si="48"/>
        <v>0</v>
      </c>
      <c r="X392" s="303">
        <v>21.0</v>
      </c>
      <c r="Y392" s="217"/>
      <c r="Z392" s="217"/>
      <c r="AA392" s="217"/>
      <c r="AB392" s="217"/>
      <c r="AC392" s="291">
        <f t="shared" si="49"/>
        <v>0</v>
      </c>
    </row>
    <row r="393" ht="14.25" customHeight="1">
      <c r="J393" s="255">
        <v>27.0</v>
      </c>
      <c r="K393" s="252">
        <v>0.3215277777777778</v>
      </c>
      <c r="L393" s="252">
        <v>0.5</v>
      </c>
      <c r="M393" s="252"/>
      <c r="N393" s="252"/>
      <c r="O393" s="291">
        <f t="shared" si="45"/>
        <v>0.1784722222</v>
      </c>
      <c r="Q393" s="233">
        <v>23.0</v>
      </c>
      <c r="R393" s="219">
        <v>0.32638888889050577</v>
      </c>
      <c r="S393" s="219">
        <v>0.5013888888934162</v>
      </c>
      <c r="T393" s="219">
        <v>0.5201388888890506</v>
      </c>
      <c r="U393" s="219">
        <v>0.7104166666666667</v>
      </c>
      <c r="V393" s="291">
        <f t="shared" si="48"/>
        <v>0.3652777778</v>
      </c>
      <c r="X393" s="290">
        <v>22.0</v>
      </c>
      <c r="Y393" s="217"/>
      <c r="Z393" s="217"/>
      <c r="AA393" s="217"/>
      <c r="AB393" s="217"/>
      <c r="AC393" s="291">
        <f t="shared" si="49"/>
        <v>0</v>
      </c>
    </row>
    <row r="394" ht="14.25" customHeight="1">
      <c r="J394" s="255">
        <v>28.0</v>
      </c>
      <c r="K394" s="252"/>
      <c r="L394" s="252"/>
      <c r="M394" s="252"/>
      <c r="N394" s="252"/>
      <c r="O394" s="291">
        <f t="shared" si="45"/>
        <v>0</v>
      </c>
      <c r="Q394" s="233">
        <v>24.0</v>
      </c>
      <c r="R394" s="219">
        <v>0.3256944444437977</v>
      </c>
      <c r="S394" s="219">
        <v>0.5013888888934162</v>
      </c>
      <c r="T394" s="219">
        <v>0.5340277777795563</v>
      </c>
      <c r="U394" s="219">
        <v>0.7118055555555556</v>
      </c>
      <c r="V394" s="291">
        <f t="shared" si="48"/>
        <v>0.3534722222</v>
      </c>
      <c r="X394" s="290">
        <v>23.0</v>
      </c>
      <c r="Y394" s="217"/>
      <c r="Z394" s="217"/>
      <c r="AA394" s="217"/>
      <c r="AB394" s="217"/>
      <c r="AC394" s="291">
        <f t="shared" si="49"/>
        <v>0</v>
      </c>
    </row>
    <row r="395" ht="14.25" customHeight="1">
      <c r="D395" s="260" t="s">
        <v>44</v>
      </c>
      <c r="E395" s="390" t="str">
        <f>TEXT(WORKDAY(WORKDAY(TODAY()-1, CEILING(((486/24)-SUM(H388+O395+V402+AC402))*24,8)/8)-1, 1), "MMMM DD")
</f>
        <v>April 29</v>
      </c>
      <c r="J395" s="269" t="s">
        <v>17</v>
      </c>
      <c r="K395" s="239"/>
      <c r="L395" s="239"/>
      <c r="M395" s="239"/>
      <c r="N395" s="240"/>
      <c r="O395" s="272">
        <f>SUM(O371:O394)</f>
        <v>6.651388889</v>
      </c>
      <c r="Q395" s="233">
        <v>25.0</v>
      </c>
      <c r="R395" s="219">
        <v>0.32638888889050577</v>
      </c>
      <c r="S395" s="219">
        <v>0.5006944444467081</v>
      </c>
      <c r="T395" s="219">
        <v>0.5402777777777777</v>
      </c>
      <c r="U395" s="219">
        <v>0.7097222222218988</v>
      </c>
      <c r="V395" s="291">
        <f t="shared" si="48"/>
        <v>0.34375</v>
      </c>
      <c r="X395" s="290">
        <v>24.0</v>
      </c>
      <c r="Y395" s="217"/>
      <c r="Z395" s="217"/>
      <c r="AA395" s="217"/>
      <c r="AB395" s="217"/>
      <c r="AC395" s="291">
        <f t="shared" si="49"/>
        <v>0</v>
      </c>
    </row>
    <row r="396" ht="14.25" customHeight="1">
      <c r="Q396" s="233">
        <v>26.0</v>
      </c>
      <c r="R396" s="217">
        <v>0.33194444444961846</v>
      </c>
      <c r="S396" s="217">
        <v>0.5020833333328483</v>
      </c>
      <c r="T396" s="217">
        <v>0.5180555555562023</v>
      </c>
      <c r="U396" s="217">
        <v>0.711111111115315</v>
      </c>
      <c r="V396" s="291">
        <f t="shared" si="48"/>
        <v>0.3631944444</v>
      </c>
      <c r="X396" s="290">
        <v>25.0</v>
      </c>
      <c r="Y396" s="217"/>
      <c r="Z396" s="217"/>
      <c r="AA396" s="217"/>
      <c r="AB396" s="217"/>
      <c r="AC396" s="291">
        <f t="shared" si="49"/>
        <v>0</v>
      </c>
    </row>
    <row r="397" ht="14.25" customHeight="1">
      <c r="Q397" s="233">
        <v>27.0</v>
      </c>
      <c r="R397" s="213">
        <v>0.32916666666278616</v>
      </c>
      <c r="S397" s="219">
        <v>0.5013888888934162</v>
      </c>
      <c r="T397" s="219">
        <v>0.5395833333313931</v>
      </c>
      <c r="U397" s="219">
        <v>0.7104166666686069</v>
      </c>
      <c r="V397" s="291">
        <f t="shared" si="48"/>
        <v>0.3430555556</v>
      </c>
      <c r="X397" s="290">
        <v>26.0</v>
      </c>
      <c r="Y397" s="217"/>
      <c r="Z397" s="217"/>
      <c r="AA397" s="217"/>
      <c r="AB397" s="217"/>
      <c r="AC397" s="291">
        <f t="shared" si="49"/>
        <v>0</v>
      </c>
    </row>
    <row r="398" ht="14.25" customHeight="1">
      <c r="Q398" s="233">
        <v>28.0</v>
      </c>
      <c r="R398" s="219"/>
      <c r="S398" s="218"/>
      <c r="T398" s="218"/>
      <c r="U398" s="218"/>
      <c r="V398" s="291">
        <f t="shared" si="48"/>
        <v>0</v>
      </c>
      <c r="X398" s="290">
        <v>27.0</v>
      </c>
      <c r="Y398" s="217"/>
      <c r="Z398" s="217"/>
      <c r="AA398" s="217"/>
      <c r="AB398" s="217"/>
      <c r="AC398" s="291">
        <f t="shared" si="49"/>
        <v>0</v>
      </c>
    </row>
    <row r="399" ht="14.25" customHeight="1">
      <c r="C399" s="391" t="s">
        <v>55</v>
      </c>
      <c r="D399" s="4"/>
      <c r="E399" s="4"/>
      <c r="F399" s="5"/>
      <c r="G399" s="391" t="s">
        <v>56</v>
      </c>
      <c r="H399" s="5"/>
      <c r="Q399" s="233">
        <v>29.0</v>
      </c>
      <c r="R399" s="219"/>
      <c r="S399" s="218"/>
      <c r="T399" s="218"/>
      <c r="U399" s="218"/>
      <c r="V399" s="291">
        <f t="shared" si="48"/>
        <v>0</v>
      </c>
      <c r="X399" s="290">
        <v>28.0</v>
      </c>
      <c r="Y399" s="217"/>
      <c r="Z399" s="217"/>
      <c r="AA399" s="217"/>
      <c r="AB399" s="217"/>
      <c r="AC399" s="291">
        <f t="shared" si="49"/>
        <v>0</v>
      </c>
    </row>
    <row r="400" ht="14.25" customHeight="1">
      <c r="C400" s="392">
        <f>B59-A369</f>
        <v>4.298611111</v>
      </c>
      <c r="F400" s="42"/>
      <c r="G400" s="393" t="str">
        <f>TEXT(A369/B59, "0.00%")</f>
        <v>78.77%</v>
      </c>
      <c r="H400" s="31"/>
      <c r="Q400" s="233">
        <v>30.0</v>
      </c>
      <c r="R400" s="217">
        <v>0.3111111111111111</v>
      </c>
      <c r="S400" s="219">
        <v>0.5048611111111111</v>
      </c>
      <c r="T400" s="219">
        <v>0.5305555555555556</v>
      </c>
      <c r="U400" s="219">
        <v>0.711111111115315</v>
      </c>
      <c r="V400" s="291">
        <f t="shared" si="48"/>
        <v>0.3743055556</v>
      </c>
      <c r="X400" s="290">
        <v>29.0</v>
      </c>
      <c r="Y400" s="217"/>
      <c r="Z400" s="217"/>
      <c r="AA400" s="217"/>
      <c r="AB400" s="217"/>
      <c r="AC400" s="291">
        <f t="shared" si="49"/>
        <v>0</v>
      </c>
    </row>
    <row r="401" ht="14.25" customHeight="1">
      <c r="C401" s="41"/>
      <c r="F401" s="42"/>
      <c r="G401" s="41"/>
      <c r="H401" s="42"/>
      <c r="Q401" s="233">
        <v>31.0</v>
      </c>
      <c r="R401" s="219">
        <v>0.32083333333333336</v>
      </c>
      <c r="S401" s="219">
        <v>0.5027777777777778</v>
      </c>
      <c r="T401" s="219">
        <v>0.5201388888888889</v>
      </c>
      <c r="U401" s="219">
        <v>0.7104166666686069</v>
      </c>
      <c r="V401" s="291">
        <f t="shared" si="48"/>
        <v>0.3722222222</v>
      </c>
      <c r="X401" s="290">
        <v>30.0</v>
      </c>
      <c r="Y401" s="217"/>
      <c r="Z401" s="217"/>
      <c r="AA401" s="217"/>
      <c r="AB401" s="217"/>
      <c r="AC401" s="291">
        <f t="shared" si="49"/>
        <v>0</v>
      </c>
    </row>
    <row r="402" ht="14.25" customHeight="1">
      <c r="C402" s="33"/>
      <c r="D402" s="34"/>
      <c r="E402" s="34"/>
      <c r="F402" s="35"/>
      <c r="G402" s="33"/>
      <c r="H402" s="35"/>
      <c r="Q402" s="228" t="s">
        <v>17</v>
      </c>
      <c r="R402" s="4"/>
      <c r="S402" s="4"/>
      <c r="T402" s="4"/>
      <c r="U402" s="5"/>
      <c r="V402" s="234">
        <f>SUM(V371:V401)</f>
        <v>7.65625</v>
      </c>
      <c r="X402" s="349" t="s">
        <v>17</v>
      </c>
      <c r="Y402" s="4"/>
      <c r="Z402" s="4"/>
      <c r="AA402" s="4"/>
      <c r="AB402" s="5"/>
      <c r="AC402" s="350">
        <f>SUM(AC371:AC401)</f>
        <v>0.9527777778</v>
      </c>
    </row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</sheetData>
  <mergeCells count="339">
    <mergeCell ref="B271:E271"/>
    <mergeCell ref="F271:G271"/>
    <mergeCell ref="B272:E274"/>
    <mergeCell ref="F272:G274"/>
    <mergeCell ref="P277:T277"/>
    <mergeCell ref="W277:AA277"/>
    <mergeCell ref="B263:B265"/>
    <mergeCell ref="C263:F263"/>
    <mergeCell ref="G263:G265"/>
    <mergeCell ref="C264:D264"/>
    <mergeCell ref="E264:F264"/>
    <mergeCell ref="B268:F268"/>
    <mergeCell ref="I270:M270"/>
    <mergeCell ref="Y283:AB283"/>
    <mergeCell ref="AC283:AC285"/>
    <mergeCell ref="Y284:Z284"/>
    <mergeCell ref="AA284:AB284"/>
    <mergeCell ref="R284:S284"/>
    <mergeCell ref="T284:U284"/>
    <mergeCell ref="J283:J285"/>
    <mergeCell ref="K283:N283"/>
    <mergeCell ref="O283:O285"/>
    <mergeCell ref="Q283:Q285"/>
    <mergeCell ref="R283:U283"/>
    <mergeCell ref="V283:V285"/>
    <mergeCell ref="X283:X285"/>
    <mergeCell ref="K284:L284"/>
    <mergeCell ref="M284:N284"/>
    <mergeCell ref="C286:H287"/>
    <mergeCell ref="C288:H288"/>
    <mergeCell ref="C289:H292"/>
    <mergeCell ref="D293:G295"/>
    <mergeCell ref="C297:C299"/>
    <mergeCell ref="Q316:U316"/>
    <mergeCell ref="X316:AB316"/>
    <mergeCell ref="D297:G297"/>
    <mergeCell ref="H297:H299"/>
    <mergeCell ref="D298:E298"/>
    <mergeCell ref="F298:G298"/>
    <mergeCell ref="C302:G302"/>
    <mergeCell ref="D305:G305"/>
    <mergeCell ref="J309:N309"/>
    <mergeCell ref="D306:G308"/>
    <mergeCell ref="D310:D311"/>
    <mergeCell ref="E310:G311"/>
    <mergeCell ref="C313:F313"/>
    <mergeCell ref="G313:H313"/>
    <mergeCell ref="C314:F316"/>
    <mergeCell ref="G314:H316"/>
    <mergeCell ref="Y324:AB324"/>
    <mergeCell ref="AC324:AC326"/>
    <mergeCell ref="Y325:Z325"/>
    <mergeCell ref="AA325:AB325"/>
    <mergeCell ref="R325:S325"/>
    <mergeCell ref="T325:U325"/>
    <mergeCell ref="J324:J326"/>
    <mergeCell ref="K324:N324"/>
    <mergeCell ref="O324:O326"/>
    <mergeCell ref="Q324:Q326"/>
    <mergeCell ref="R324:U324"/>
    <mergeCell ref="V324:V326"/>
    <mergeCell ref="X324:X326"/>
    <mergeCell ref="K325:L325"/>
    <mergeCell ref="M325:N325"/>
    <mergeCell ref="C327:H328"/>
    <mergeCell ref="C329:H329"/>
    <mergeCell ref="C330:H333"/>
    <mergeCell ref="D334:G336"/>
    <mergeCell ref="C338:C340"/>
    <mergeCell ref="D351:D352"/>
    <mergeCell ref="E351:G352"/>
    <mergeCell ref="J351:N351"/>
    <mergeCell ref="Q358:U358"/>
    <mergeCell ref="X358:AB358"/>
    <mergeCell ref="C399:F399"/>
    <mergeCell ref="C400:F402"/>
    <mergeCell ref="G400:H402"/>
    <mergeCell ref="Q402:U402"/>
    <mergeCell ref="X402:AB402"/>
    <mergeCell ref="C388:G388"/>
    <mergeCell ref="D390:G390"/>
    <mergeCell ref="D391:G393"/>
    <mergeCell ref="D395:D396"/>
    <mergeCell ref="E395:G396"/>
    <mergeCell ref="J395:N395"/>
    <mergeCell ref="G399:H399"/>
    <mergeCell ref="D338:G338"/>
    <mergeCell ref="H338:H340"/>
    <mergeCell ref="D339:E339"/>
    <mergeCell ref="F339:G339"/>
    <mergeCell ref="C344:G344"/>
    <mergeCell ref="D346:G346"/>
    <mergeCell ref="D347:G349"/>
    <mergeCell ref="R368:U368"/>
    <mergeCell ref="R369:S369"/>
    <mergeCell ref="T369:U369"/>
    <mergeCell ref="Y369:Z369"/>
    <mergeCell ref="AA369:AB369"/>
    <mergeCell ref="K368:N368"/>
    <mergeCell ref="V368:V370"/>
    <mergeCell ref="X368:X370"/>
    <mergeCell ref="Y368:AB368"/>
    <mergeCell ref="AC368:AC370"/>
    <mergeCell ref="K369:L369"/>
    <mergeCell ref="M369:N369"/>
    <mergeCell ref="C355:F355"/>
    <mergeCell ref="G355:H355"/>
    <mergeCell ref="C356:F358"/>
    <mergeCell ref="G356:H358"/>
    <mergeCell ref="J368:J370"/>
    <mergeCell ref="O368:O370"/>
    <mergeCell ref="Q368:Q370"/>
    <mergeCell ref="D383:E383"/>
    <mergeCell ref="F383:G383"/>
    <mergeCell ref="C371:H372"/>
    <mergeCell ref="C373:H373"/>
    <mergeCell ref="C374:H377"/>
    <mergeCell ref="D378:G380"/>
    <mergeCell ref="C382:C384"/>
    <mergeCell ref="D382:G382"/>
    <mergeCell ref="H382:H384"/>
    <mergeCell ref="J2:K2"/>
    <mergeCell ref="L2:M2"/>
    <mergeCell ref="B1:B3"/>
    <mergeCell ref="C1:F1"/>
    <mergeCell ref="G1:G3"/>
    <mergeCell ref="I1:I3"/>
    <mergeCell ref="J1:M1"/>
    <mergeCell ref="N1:N3"/>
    <mergeCell ref="P1:P3"/>
    <mergeCell ref="X2:Y2"/>
    <mergeCell ref="Z2:AA2"/>
    <mergeCell ref="AD10:AE10"/>
    <mergeCell ref="Q1:T1"/>
    <mergeCell ref="U1:U3"/>
    <mergeCell ref="W1:W3"/>
    <mergeCell ref="X1:AA1"/>
    <mergeCell ref="AB1:AB3"/>
    <mergeCell ref="Q2:R2"/>
    <mergeCell ref="S2:T2"/>
    <mergeCell ref="B16:E18"/>
    <mergeCell ref="F16:G18"/>
    <mergeCell ref="I26:M26"/>
    <mergeCell ref="P34:T34"/>
    <mergeCell ref="W34:AA34"/>
    <mergeCell ref="C2:D2"/>
    <mergeCell ref="E2:F2"/>
    <mergeCell ref="B6:F6"/>
    <mergeCell ref="B8:G9"/>
    <mergeCell ref="B10:G13"/>
    <mergeCell ref="B15:E15"/>
    <mergeCell ref="F15:G15"/>
    <mergeCell ref="J40:M40"/>
    <mergeCell ref="J41:K41"/>
    <mergeCell ref="Q40:T40"/>
    <mergeCell ref="X40:AA40"/>
    <mergeCell ref="L41:M41"/>
    <mergeCell ref="Q41:R41"/>
    <mergeCell ref="S41:T41"/>
    <mergeCell ref="X41:Y41"/>
    <mergeCell ref="AG53:AL53"/>
    <mergeCell ref="AG54:AL54"/>
    <mergeCell ref="I40:I42"/>
    <mergeCell ref="N40:N42"/>
    <mergeCell ref="P40:P42"/>
    <mergeCell ref="U40:U42"/>
    <mergeCell ref="W40:W42"/>
    <mergeCell ref="AB40:AB42"/>
    <mergeCell ref="Z41:AA41"/>
    <mergeCell ref="B39:G40"/>
    <mergeCell ref="B42:G43"/>
    <mergeCell ref="B44:G47"/>
    <mergeCell ref="B49:B51"/>
    <mergeCell ref="C49:F49"/>
    <mergeCell ref="G49:G51"/>
    <mergeCell ref="C50:D50"/>
    <mergeCell ref="I65:M65"/>
    <mergeCell ref="I67:N68"/>
    <mergeCell ref="P73:T73"/>
    <mergeCell ref="W73:AA73"/>
    <mergeCell ref="P74:U74"/>
    <mergeCell ref="P75:U75"/>
    <mergeCell ref="E50:F50"/>
    <mergeCell ref="B54:F54"/>
    <mergeCell ref="B56:G56"/>
    <mergeCell ref="B57:G58"/>
    <mergeCell ref="B59:G62"/>
    <mergeCell ref="B64:G65"/>
    <mergeCell ref="B66:G69"/>
    <mergeCell ref="Q125:R125"/>
    <mergeCell ref="S125:T125"/>
    <mergeCell ref="I124:I126"/>
    <mergeCell ref="J124:M124"/>
    <mergeCell ref="N124:N126"/>
    <mergeCell ref="P124:P126"/>
    <mergeCell ref="Q124:T124"/>
    <mergeCell ref="U124:U126"/>
    <mergeCell ref="W124:W126"/>
    <mergeCell ref="Q81:T81"/>
    <mergeCell ref="X81:AA81"/>
    <mergeCell ref="AB81:AB83"/>
    <mergeCell ref="Q82:R82"/>
    <mergeCell ref="S82:T82"/>
    <mergeCell ref="X82:Y82"/>
    <mergeCell ref="Z82:AA82"/>
    <mergeCell ref="AD91:AE91"/>
    <mergeCell ref="C74:H77"/>
    <mergeCell ref="I81:I83"/>
    <mergeCell ref="J81:M81"/>
    <mergeCell ref="N81:N83"/>
    <mergeCell ref="P81:P83"/>
    <mergeCell ref="U81:U83"/>
    <mergeCell ref="W81:W83"/>
    <mergeCell ref="J82:K82"/>
    <mergeCell ref="L82:M82"/>
    <mergeCell ref="B84:G85"/>
    <mergeCell ref="B86:G89"/>
    <mergeCell ref="B91:B93"/>
    <mergeCell ref="C91:F91"/>
    <mergeCell ref="G91:G93"/>
    <mergeCell ref="P114:T114"/>
    <mergeCell ref="W114:AA114"/>
    <mergeCell ref="C92:D92"/>
    <mergeCell ref="E92:F92"/>
    <mergeCell ref="B96:F96"/>
    <mergeCell ref="B98:E98"/>
    <mergeCell ref="F98:G98"/>
    <mergeCell ref="B99:E101"/>
    <mergeCell ref="F99:G101"/>
    <mergeCell ref="X124:AA124"/>
    <mergeCell ref="AB124:AB126"/>
    <mergeCell ref="X125:Y125"/>
    <mergeCell ref="Z125:AA125"/>
    <mergeCell ref="AD134:AE134"/>
    <mergeCell ref="I149:M149"/>
    <mergeCell ref="P157:T157"/>
    <mergeCell ref="W157:AA157"/>
    <mergeCell ref="J168:M168"/>
    <mergeCell ref="J169:K169"/>
    <mergeCell ref="L169:M169"/>
    <mergeCell ref="B170:G173"/>
    <mergeCell ref="B178:B180"/>
    <mergeCell ref="C178:F178"/>
    <mergeCell ref="G178:G180"/>
    <mergeCell ref="C179:D179"/>
    <mergeCell ref="E179:F179"/>
    <mergeCell ref="B183:F183"/>
    <mergeCell ref="B186:E186"/>
    <mergeCell ref="F186:G186"/>
    <mergeCell ref="F187:G189"/>
    <mergeCell ref="I193:M193"/>
    <mergeCell ref="J125:K125"/>
    <mergeCell ref="L125:M125"/>
    <mergeCell ref="B126:G127"/>
    <mergeCell ref="B128:G131"/>
    <mergeCell ref="B134:B136"/>
    <mergeCell ref="C134:F134"/>
    <mergeCell ref="G134:G136"/>
    <mergeCell ref="C135:D135"/>
    <mergeCell ref="E135:F135"/>
    <mergeCell ref="B139:F139"/>
    <mergeCell ref="B141:D143"/>
    <mergeCell ref="E141:F143"/>
    <mergeCell ref="B145:G146"/>
    <mergeCell ref="B147:G150"/>
    <mergeCell ref="Q168:T168"/>
    <mergeCell ref="X168:AA168"/>
    <mergeCell ref="Q169:R169"/>
    <mergeCell ref="S169:T169"/>
    <mergeCell ref="P201:T201"/>
    <mergeCell ref="Q212:T212"/>
    <mergeCell ref="U212:U214"/>
    <mergeCell ref="Q213:R213"/>
    <mergeCell ref="S213:T213"/>
    <mergeCell ref="X169:Y169"/>
    <mergeCell ref="Z169:AA169"/>
    <mergeCell ref="W201:AA201"/>
    <mergeCell ref="W212:W214"/>
    <mergeCell ref="X212:AA212"/>
    <mergeCell ref="AB212:AB214"/>
    <mergeCell ref="X213:Y213"/>
    <mergeCell ref="Z213:AA213"/>
    <mergeCell ref="B168:G169"/>
    <mergeCell ref="I168:I170"/>
    <mergeCell ref="N168:N170"/>
    <mergeCell ref="P168:P170"/>
    <mergeCell ref="U168:U170"/>
    <mergeCell ref="W168:W170"/>
    <mergeCell ref="AB168:AB170"/>
    <mergeCell ref="B212:G213"/>
    <mergeCell ref="B214:G214"/>
    <mergeCell ref="AG214:AG215"/>
    <mergeCell ref="AH214:AH215"/>
    <mergeCell ref="AG216:AG217"/>
    <mergeCell ref="AG218:AG219"/>
    <mergeCell ref="B187:E189"/>
    <mergeCell ref="I212:I214"/>
    <mergeCell ref="J212:M212"/>
    <mergeCell ref="N212:N214"/>
    <mergeCell ref="P212:P214"/>
    <mergeCell ref="J213:K213"/>
    <mergeCell ref="L213:M213"/>
    <mergeCell ref="C231:F231"/>
    <mergeCell ref="G231:G233"/>
    <mergeCell ref="C232:D232"/>
    <mergeCell ref="E232:F232"/>
    <mergeCell ref="P237:T237"/>
    <mergeCell ref="I238:M238"/>
    <mergeCell ref="W238:AA238"/>
    <mergeCell ref="B215:G218"/>
    <mergeCell ref="C221:F221"/>
    <mergeCell ref="C222:F224"/>
    <mergeCell ref="C226:C227"/>
    <mergeCell ref="D226:F227"/>
    <mergeCell ref="D229:F229"/>
    <mergeCell ref="B231:B233"/>
    <mergeCell ref="Q244:T244"/>
    <mergeCell ref="X244:AA244"/>
    <mergeCell ref="AB244:AB246"/>
    <mergeCell ref="Q245:R245"/>
    <mergeCell ref="S245:T245"/>
    <mergeCell ref="X245:Y245"/>
    <mergeCell ref="Z245:AA245"/>
    <mergeCell ref="J245:K245"/>
    <mergeCell ref="L245:M245"/>
    <mergeCell ref="B236:F236"/>
    <mergeCell ref="I244:I246"/>
    <mergeCell ref="J244:M244"/>
    <mergeCell ref="N244:N246"/>
    <mergeCell ref="P244:P246"/>
    <mergeCell ref="U244:U246"/>
    <mergeCell ref="W244:W246"/>
    <mergeCell ref="B247:G248"/>
    <mergeCell ref="B249:G249"/>
    <mergeCell ref="B250:G253"/>
    <mergeCell ref="C255:F255"/>
    <mergeCell ref="C256:F258"/>
    <mergeCell ref="C259:C260"/>
    <mergeCell ref="D259:F260"/>
  </mergeCells>
  <printOptions/>
  <pageMargins bottom="0.75" footer="0.0" header="0.0" left="0.7" right="0.7" top="0.75"/>
  <pageSetup orientation="landscape"/>
  <drawing r:id="rId1"/>
</worksheet>
</file>